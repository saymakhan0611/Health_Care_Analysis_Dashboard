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Sayma Folder\Sayma\Data Analytics\EXCEL\PROJECTS\"/>
    </mc:Choice>
  </mc:AlternateContent>
  <xr:revisionPtr revIDLastSave="0" documentId="13_ncr:1_{636ABCD0-5015-434C-A173-419E5BBFE420}" xr6:coauthVersionLast="47" xr6:coauthVersionMax="47" xr10:uidLastSave="{00000000-0000-0000-0000-000000000000}"/>
  <bookViews>
    <workbookView xWindow="-108" yWindow="-108" windowWidth="23256" windowHeight="13896" activeTab="1" xr2:uid="{5A529322-53AA-4AD7-ABC6-58C12B335F3B}"/>
  </bookViews>
  <sheets>
    <sheet name="Pivot Report" sheetId="1" r:id="rId1"/>
    <sheet name="Dashboard" sheetId="2" r:id="rId2"/>
    <sheet name="Yearly ER of Stay Of Average" sheetId="6" r:id="rId3"/>
    <sheet name="Yearly ER Of Average Bill" sheetId="4" r:id="rId4"/>
    <sheet name="Yearly ER of Revenue" sheetId="5" r:id="rId5"/>
    <sheet name="Yearly ER Of No of patients" sheetId="3" r:id="rId6"/>
  </sheets>
  <definedNames>
    <definedName name="Date">"Admit Date"</definedName>
    <definedName name="Slicer_Admit_Year">#N/A</definedName>
    <definedName name="Slicer_Age_By_Group">#N/A</definedName>
    <definedName name="Slicer_Gender">#N/A</definedName>
    <definedName name="Slicer_Medical_Condition">#N/A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s>
  <extLst>
    <ext xmlns:x14="http://schemas.microsoft.com/office/spreadsheetml/2009/9/main" uri="{876F7934-8845-4945-9796-88D515C7AA90}">
      <x14:pivotCaches>
        <pivotCache cacheId="24" r:id="rId31"/>
      </x14:pivotCaches>
    </ext>
    <ext xmlns:x14="http://schemas.microsoft.com/office/spreadsheetml/2009/9/main" uri="{BBE1A952-AA13-448e-AADC-164F8A28A991}">
      <x14:slicerCaches>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records_2021_2024_with_bills_129fdeb3-09a1-45e2-8b30-17e6fe6844be" name="hospital_records_2021_2024_with_bills" connection="Query - hospital_records_2021_2024_with_bills"/>
          <x15:modelTable id="Calender Date_aadd6363-3cfe-455a-979e-7209564b8b6c" name="Calender Date" connection="Query - Calender Date"/>
        </x15:modelTables>
        <x15:modelRelationships>
          <x15:modelRelationship fromTable="hospital_records_2021_2024_with_bills" fromColumn="Admit Date" toTable="Calender Date" toColumn="Date"/>
        </x15:modelRelationships>
        <x15:extLst>
          <ext xmlns:x16="http://schemas.microsoft.com/office/spreadsheetml/2014/11/main" uri="{9835A34E-60A6-4A7C-AAB8-D5F71C897F49}">
            <x16:modelTimeGroupings>
              <x16:modelTimeGrouping tableName="Calender 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hospital_records_2021_2024_with_bills" columnName="Admit Date" columnId="Admit Date">
                <x16:calculatedTimeColumn columnName="Admit Date (Month Index)" columnId="Admit Date (Month Index)" contentType="monthsindex" isSelected="1"/>
                <x16:calculatedTimeColumn columnName="Admit Date (Month)" columnId="Admi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A59B46-B971-4207-B64C-E813F7F641E5}" name="Query - Calender Date" description="Connection to the 'Calender Date' query in the workbook." type="100" refreshedVersion="8" minRefreshableVersion="5">
    <extLst>
      <ext xmlns:x15="http://schemas.microsoft.com/office/spreadsheetml/2010/11/main" uri="{DE250136-89BD-433C-8126-D09CA5730AF9}">
        <x15:connection id="7320e47d-2df6-4e90-975c-1ef3da26aab4"/>
      </ext>
    </extLst>
  </connection>
  <connection id="2" xr16:uid="{0470F9F5-4633-45B5-A9AE-A8FBB032121D}" name="Query - hospital_records_2021_2024_with_bills" description="Connection to the 'hospital_records_2021_2024_with_bills' query in the workbook." type="100" refreshedVersion="8" minRefreshableVersion="5">
    <extLst>
      <ext xmlns:x15="http://schemas.microsoft.com/office/spreadsheetml/2010/11/main" uri="{DE250136-89BD-433C-8126-D09CA5730AF9}">
        <x15:connection id="542f599a-9943-4e1e-ab4f-a4e25f4b3777"/>
      </ext>
    </extLst>
  </connection>
  <connection id="3" xr16:uid="{0BDE53D8-DC37-406E-A2DA-CD72375D8F8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<sst xmlns="http://schemas.openxmlformats.org/spreadsheetml/2006/main" count="84" uniqueCount="45">
  <si>
    <t>Distinct Count of Patient ID</t>
  </si>
  <si>
    <t>No Of Patients</t>
  </si>
  <si>
    <t>Sum of Bill Amount</t>
  </si>
  <si>
    <t>Total Hospital Revenue</t>
  </si>
  <si>
    <t>Average of Bill Amount</t>
  </si>
  <si>
    <t>Average Bill Amount</t>
  </si>
  <si>
    <t>Max of Bill Amount</t>
  </si>
  <si>
    <t>Highest Bill Amount</t>
  </si>
  <si>
    <t>Average of Age</t>
  </si>
  <si>
    <t>Average of Patient Age</t>
  </si>
  <si>
    <t>Average of Length of Stay</t>
  </si>
  <si>
    <t>Length Stay Average</t>
  </si>
  <si>
    <t>Row Labels</t>
  </si>
  <si>
    <t>Count of Gender</t>
  </si>
  <si>
    <t>Patient By Gender</t>
  </si>
  <si>
    <t>Distinct Count of Medical Condition</t>
  </si>
  <si>
    <t>Unique Medical Condition</t>
  </si>
  <si>
    <t>Distinct Count of Treatments</t>
  </si>
  <si>
    <t>Uniique Treatement Type</t>
  </si>
  <si>
    <t>Yearly Trends Of No Of Patients</t>
  </si>
  <si>
    <t>Yearly Trends Of Average Bill Amount</t>
  </si>
  <si>
    <t>Yearly Trends Of stay Average</t>
  </si>
  <si>
    <t>Yearly Trends of Total Revenue</t>
  </si>
  <si>
    <t>Revenue By Admit Year Chart</t>
  </si>
  <si>
    <t>Count of Patient ID</t>
  </si>
  <si>
    <t>Revenue by medical condition chart</t>
  </si>
  <si>
    <t>Patient by Gender Chart</t>
  </si>
  <si>
    <t>Average Bill By Treatment chart</t>
  </si>
  <si>
    <t>Patient By Treatment chart</t>
  </si>
  <si>
    <t>Patient By Medical Condition</t>
  </si>
  <si>
    <t>Highest Bill</t>
  </si>
  <si>
    <t>Revenue By Admit month Chart</t>
  </si>
  <si>
    <t>Revenue Summary</t>
  </si>
  <si>
    <t>Max of Bill Amount3</t>
  </si>
  <si>
    <t>Total Patient</t>
  </si>
  <si>
    <t>Average Patient Age</t>
  </si>
  <si>
    <t xml:space="preserve"> Length of Stay</t>
  </si>
  <si>
    <t>Patient Summary</t>
  </si>
  <si>
    <t>Grand Total</t>
  </si>
  <si>
    <t>May</t>
  </si>
  <si>
    <t>Average Patient agr</t>
  </si>
  <si>
    <t>Male</t>
  </si>
  <si>
    <t>Allergies</t>
  </si>
  <si>
    <t>Antihistamines</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</si>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</sst>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font>
      <sz val="11"/>
      <color theme="1"/>
      <name val="Aptos Narrow"/>
      <family val="2"/>
      <scheme val="minor"/>
    </font>
    <font>
      <sz val="11"/>
      <color theme="1"/>
      <name val="Sageo ui"/>
    </font>
    <font>
      <b/>
      <sz val="11"/>
      <color theme="0"/>
      <name val="Sageo ui"/>
    </font>
    <font>
      <sz val="11"/>
      <color theme="0"/>
      <name val="Sageo ui"/>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249977111117893"/>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3" borderId="0" xfId="0" applyFill="1"/>
    <xf numFmtId="0" fontId="1" fillId="0" borderId="1" xfId="0" applyFont="1" applyBorder="1" applyAlignment="1">
      <alignment horizontal="left" vertical="center"/>
    </xf>
    <xf numFmtId="0" fontId="2" fillId="4" borderId="1" xfId="0" applyFont="1" applyFill="1" applyBorder="1" applyAlignment="1">
      <alignment horizontal="center" vertical="center"/>
    </xf>
    <xf numFmtId="0" fontId="3" fillId="4" borderId="1" xfId="0" applyFont="1" applyFill="1" applyBorder="1" applyAlignment="1">
      <alignment horizontal="center" vertical="center"/>
    </xf>
    <xf numFmtId="2" fontId="1" fillId="0" borderId="1" xfId="0" applyNumberFormat="1" applyFont="1" applyBorder="1" applyAlignment="1">
      <alignment horizontal="center" vertical="center"/>
    </xf>
    <xf numFmtId="0" fontId="0" fillId="5" borderId="0" xfId="0" applyFill="1"/>
    <xf numFmtId="0" fontId="0" fillId="0" borderId="0" xfId="0" applyAlignment="1">
      <alignment horizontal="left"/>
    </xf>
    <xf numFmtId="164" fontId="0" fillId="0" borderId="0" xfId="0" applyNumberFormat="1"/>
    <xf numFmtId="1"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0" fillId="0" borderId="0" xfId="0"/>
  </cellXfs>
  <cellStyles count="1">
    <cellStyle name="Normal" xfId="0" builtinId="0"/>
  </cellStyles>
  <dxfs count="72">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 formatCode="0"/>
    </dxf>
    <dxf>
      <font>
        <name val="Sageo ui"/>
        <scheme val="none"/>
      </font>
    </dxf>
    <dxf>
      <font>
        <name val="Sageo ui"/>
        <scheme val="none"/>
      </font>
    </dxf>
    <dxf>
      <font>
        <name val="Sageo ui"/>
        <scheme val="none"/>
      </font>
    </dxf>
    <dxf>
      <font>
        <name val="Sageo ui"/>
        <scheme val="none"/>
      </font>
    </dxf>
    <dxf>
      <font>
        <name val="Sageo ui"/>
        <scheme val="none"/>
      </font>
    </dxf>
    <dxf>
      <alignment horizont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font>
        <color theme="0"/>
      </font>
    </dxf>
    <dxf>
      <font>
        <color theme="0"/>
      </font>
    </dxf>
    <dxf>
      <fill>
        <patternFill patternType="solid">
          <bgColor theme="4" tint="-0.249977111117893"/>
        </patternFill>
      </fill>
    </dxf>
    <dxf>
      <fill>
        <patternFill patternType="solid">
          <bgColor theme="4" tint="-0.249977111117893"/>
        </patternFill>
      </fill>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theme="0"/>
      </font>
    </dxf>
    <dxf>
      <font>
        <color theme="0"/>
      </font>
    </dxf>
    <dxf>
      <fill>
        <patternFill patternType="solid">
          <bgColor theme="4" tint="-0.249977111117893"/>
        </patternFill>
      </fill>
    </dxf>
    <dxf>
      <fill>
        <patternFill patternType="solid">
          <bgColor theme="4" tint="-0.249977111117893"/>
        </patternFill>
      </fill>
    </dxf>
    <dxf>
      <alignment horizontal="center"/>
    </dxf>
    <dxf>
      <alignment horizontal="center"/>
    </dxf>
    <dxf>
      <numFmt numFmtId="2" formatCode="0.00"/>
    </dxf>
    <dxf>
      <alignment horizontal="center"/>
    </dxf>
    <dxf>
      <alignment horizontal="left"/>
    </dxf>
    <dxf>
      <alignment horizontal="left"/>
    </dxf>
    <dxf>
      <alignment vertical="center"/>
    </dxf>
    <dxf>
      <alignment vertical="center"/>
    </dxf>
    <dxf>
      <alignment vertical="center"/>
    </dxf>
    <dxf>
      <alignment vertical="center"/>
    </dxf>
    <dxf>
      <alignment vertical="center"/>
    </dxf>
    <dxf>
      <font>
        <name val="Sageo ui"/>
        <scheme val="none"/>
      </font>
    </dxf>
    <dxf>
      <font>
        <name val="Sageo ui"/>
        <scheme val="none"/>
      </font>
    </dxf>
    <dxf>
      <font>
        <name val="Sageo ui"/>
        <scheme val="none"/>
      </font>
    </dxf>
    <dxf>
      <font>
        <name val="Sageo ui"/>
        <scheme val="none"/>
      </font>
    </dxf>
    <dxf>
      <font>
        <name val="Sageo ui"/>
        <scheme val="none"/>
      </font>
    </dxf>
    <dxf>
      <numFmt numFmtId="2" formatCode="0.00"/>
    </dxf>
    <dxf>
      <numFmt numFmtId="164" formatCode="0.0"/>
    </dxf>
    <dxf>
      <font>
        <b/>
        <sz val="11"/>
        <color theme="1"/>
      </font>
    </dxf>
    <dxf>
      <font>
        <name val="Segoe UI"/>
        <family val="2"/>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fill>
        <gradientFill degree="90">
          <stop position="0">
            <color theme="0"/>
          </stop>
          <stop position="1">
            <color theme="4"/>
          </stop>
        </gradientFill>
      </fill>
      <border>
        <bottom style="thin">
          <color theme="4"/>
        </bottom>
        <vertical/>
        <horizontal/>
      </border>
    </dxf>
    <dxf>
      <font>
        <b val="0"/>
        <i val="0"/>
        <sz val="11"/>
        <name val="Segoe UI"/>
        <family val="2"/>
        <scheme val="none"/>
      </font>
    </dxf>
    <dxf>
      <font>
        <b/>
        <color theme="1"/>
      </font>
      <fill>
        <gradientFill degree="90">
          <stop position="0">
            <color theme="0"/>
          </stop>
          <stop position="1">
            <color theme="4"/>
          </stop>
        </gradientFill>
      </fill>
      <border>
        <bottom style="thin">
          <color theme="4"/>
        </bottom>
        <vertical/>
        <horizontal/>
      </border>
    </dxf>
    <dxf>
      <font>
        <b/>
        <color theme="1"/>
      </font>
      <border>
        <bottom style="thin">
          <color theme="4"/>
        </bottom>
        <vertical/>
        <horizontal/>
      </border>
    </dxf>
    <dxf>
      <border diagonalUp="0" diagonalDown="0">
        <left/>
        <right/>
        <top/>
        <bottom/>
        <vertical/>
        <horizontal/>
      </border>
    </dxf>
    <dxf>
      <font>
        <b val="0"/>
        <i val="0"/>
        <sz val="11"/>
        <name val="Segoe UI"/>
        <family val="2"/>
        <scheme val="none"/>
      </font>
      <fill>
        <patternFill>
          <fgColor theme="3" tint="0.24994659260841701"/>
        </patternFill>
      </fill>
      <border diagonalUp="0" diagonalDown="0">
        <left/>
        <right/>
        <top/>
        <bottom/>
        <vertical/>
        <horizontal/>
      </border>
    </dxf>
    <dxf>
      <font>
        <b/>
        <color theme="1"/>
      </font>
      <border>
        <bottom style="thin">
          <color theme="4"/>
        </bottom>
        <vertical/>
        <horizontal/>
      </border>
    </dxf>
    <dxf>
      <font>
        <b/>
        <i val="0"/>
        <sz val="14"/>
        <color theme="1"/>
        <name val="Aptos Display"/>
        <family val="2"/>
        <scheme val="major"/>
      </font>
      <border diagonalUp="0" diagonalDown="0">
        <left/>
        <right/>
        <top/>
        <bottom/>
        <vertical/>
        <horizontal/>
      </border>
    </dxf>
  </dxfs>
  <tableStyles count="9" defaultTableStyle="TableStyleMedium2" defaultPivotStyle="PivotStyleLight16">
    <tableStyle name="my style" pivot="0" table="0" count="10" xr9:uid="{D62A89F9-CFC9-46DB-81FB-55F301C50036}">
      <tableStyleElement type="wholeTable" dxfId="71"/>
      <tableStyleElement type="headerRow" dxfId="70"/>
    </tableStyle>
    <tableStyle name="Slicer Style 1" pivot="0" table="0" count="0" xr9:uid="{BBB7D5F0-AB3E-488A-B37B-6419E995AB0F}"/>
    <tableStyle name="Slicer Style 2" pivot="0" table="0" count="0" xr9:uid="{A9E0DCDE-669E-438F-B028-794B2B1A6625}"/>
    <tableStyle name="Slicer Style 3" pivot="0" table="0" count="1" xr9:uid="{BC8A8A76-FC4F-4EFE-B228-6AE4BFDF0FEB}">
      <tableStyleElement type="wholeTable" dxfId="69"/>
    </tableStyle>
    <tableStyle name="Slicer Style 4" pivot="0" table="0" count="1" xr9:uid="{EBE3C345-4DB9-4E52-B247-F38518B6D837}">
      <tableStyleElement type="wholeTable" dxfId="68"/>
    </tableStyle>
    <tableStyle name="SlicerStyleLight1 2" pivot="0" table="0" count="9" xr9:uid="{F79CE075-89CB-4357-966B-3ABAACF86528}">
      <tableStyleElement type="headerRow" dxfId="67"/>
    </tableStyle>
    <tableStyle name="SlicerStyleLight1 2 2" pivot="0" table="0" count="9" xr9:uid="{80F62A7A-9211-4EC3-B72C-FB6A98089471}">
      <tableStyleElement type="headerRow" dxfId="66"/>
    </tableStyle>
    <tableStyle name="SlicerStyleLight1 2 2 2" pivot="0" table="0" count="10" xr9:uid="{727F2397-FF28-4E6A-851C-F0738C023398}">
      <tableStyleElement type="wholeTable" dxfId="65"/>
      <tableStyleElement type="headerRow" dxfId="64"/>
    </tableStyle>
    <tableStyle name="Timeline Style 1" pivot="0" table="0" count="8" xr9:uid="{1480BAC0-1133-445F-90B4-86CCC80C0874}">
      <tableStyleElement type="wholeTable" dxfId="63"/>
      <tableStyleElement type="headerRow" dxfId="62"/>
    </tableStyle>
  </tableStyles>
  <colors>
    <mruColors>
      <color rgb="FFF9B883"/>
      <color rgb="FFC06EEE"/>
      <color rgb="FFFEECF1"/>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1"/>
        <x14:slicerStyle name="Slicer Style 2"/>
        <x14:slicerStyle name="Slicer Style 3"/>
        <x14:slicerStyle name="Slicer Style 4"/>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openxmlformats.org/officeDocument/2006/relationships/sharedStrings" Target="sharedStrings.xml"/><Relationship Id="rId21" Type="http://schemas.openxmlformats.org/officeDocument/2006/relationships/pivotCacheDefinition" Target="pivotCache/pivotCacheDefinition15.xml"/><Relationship Id="rId34" Type="http://schemas.microsoft.com/office/2007/relationships/slicerCache" Target="slicerCaches/slicerCache3.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microsoft.com/office/2007/relationships/slicerCache" Target="slicerCaches/slicerCache1.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microsoft.com/office/2007/relationships/slicerCache" Target="slicerCaches/slicerCache4.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8" Type="http://schemas.openxmlformats.org/officeDocument/2006/relationships/pivotCacheDefinition" Target="pivotCache/pivotCacheDefinition2.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microsoft.com/office/2007/relationships/slicerCache" Target="slicerCaches/slicerCache2.xml"/><Relationship Id="rId38" Type="http://schemas.openxmlformats.org/officeDocument/2006/relationships/styles" Target="style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alcChain" Target="calcChain.xml"/><Relationship Id="rId54"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customXml" Target="../customXml/item3.xml"/><Relationship Id="rId52"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6283929698661083"/>
          <c:w val="1"/>
          <c:h val="0.63716070301338912"/>
        </c:manualLayout>
      </c:layout>
      <c:areaChart>
        <c:grouping val="standard"/>
        <c:varyColors val="0"/>
        <c:ser>
          <c:idx val="0"/>
          <c:order val="0"/>
          <c:tx>
            <c:strRef>
              <c:f>'Pivot Report'!$E$3</c:f>
              <c:strCache>
                <c:ptCount val="1"/>
                <c:pt idx="0">
                  <c:v>Total</c:v>
                </c:pt>
              </c:strCache>
            </c:strRef>
          </c:tx>
          <c:spPr>
            <a:solidFill>
              <a:schemeClr val="accent1"/>
            </a:solidFill>
            <a:ln w="25400">
              <a:noFill/>
            </a:ln>
            <a:effectLst/>
          </c:spPr>
          <c:cat>
            <c:strRef>
              <c:f>'Pivot Report'!$D$4:$D$5</c:f>
              <c:strCache>
                <c:ptCount val="1"/>
                <c:pt idx="0">
                  <c:v>2022</c:v>
                </c:pt>
              </c:strCache>
            </c:strRef>
          </c:cat>
          <c:val>
            <c:numRef>
              <c:f>'Pivot Report'!$E$4:$E$5</c:f>
              <c:numCache>
                <c:formatCode>General</c:formatCode>
                <c:ptCount val="1"/>
                <c:pt idx="0">
                  <c:v>1</c:v>
                </c:pt>
              </c:numCache>
            </c:numRef>
          </c:val>
          <c:extLst>
            <c:ext xmlns:c16="http://schemas.microsoft.com/office/drawing/2014/chart" uri="{C3380CC4-5D6E-409C-BE32-E72D297353CC}">
              <c16:uniqueId val="{0000000B-F9A2-44B1-8F15-B6C7C836818F}"/>
            </c:ext>
          </c:extLst>
        </c:ser>
        <c:dLbls>
          <c:showLegendKey val="0"/>
          <c:showVal val="0"/>
          <c:showCatName val="0"/>
          <c:showSerName val="0"/>
          <c:showPercent val="0"/>
          <c:showBubbleSize val="0"/>
        </c:dLbls>
        <c:axId val="1164732863"/>
        <c:axId val="1679313999"/>
      </c:areaChart>
      <c:catAx>
        <c:axId val="1164732863"/>
        <c:scaling>
          <c:orientation val="minMax"/>
        </c:scaling>
        <c:delete val="1"/>
        <c:axPos val="b"/>
        <c:numFmt formatCode="General" sourceLinked="1"/>
        <c:majorTickMark val="out"/>
        <c:minorTickMark val="none"/>
        <c:tickLblPos val="nextTo"/>
        <c:crossAx val="1679313999"/>
        <c:crosses val="autoZero"/>
        <c:auto val="1"/>
        <c:lblAlgn val="ctr"/>
        <c:lblOffset val="100"/>
        <c:noMultiLvlLbl val="0"/>
      </c:catAx>
      <c:valAx>
        <c:axId val="1679313999"/>
        <c:scaling>
          <c:orientation val="minMax"/>
        </c:scaling>
        <c:delete val="1"/>
        <c:axPos val="l"/>
        <c:numFmt formatCode="General" sourceLinked="1"/>
        <c:majorTickMark val="out"/>
        <c:minorTickMark val="none"/>
        <c:tickLblPos val="nextTo"/>
        <c:crossAx val="1164732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8166666666666668"/>
          <c:w val="1"/>
          <c:h val="0.69452380952380954"/>
        </c:manualLayout>
      </c:layout>
      <c:areaChart>
        <c:grouping val="standard"/>
        <c:varyColors val="0"/>
        <c:ser>
          <c:idx val="0"/>
          <c:order val="0"/>
          <c:tx>
            <c:strRef>
              <c:f>'Pivot Report'!$K$3</c:f>
              <c:strCache>
                <c:ptCount val="1"/>
                <c:pt idx="0">
                  <c:v>Total</c:v>
                </c:pt>
              </c:strCache>
            </c:strRef>
          </c:tx>
          <c:spPr>
            <a:solidFill>
              <a:schemeClr val="accent1"/>
            </a:solidFill>
            <a:ln w="25400">
              <a:noFill/>
            </a:ln>
            <a:effectLst/>
          </c:spPr>
          <c:cat>
            <c:strRef>
              <c:f>'Pivot Report'!$J$4:$J$5</c:f>
              <c:strCache>
                <c:ptCount val="1"/>
                <c:pt idx="0">
                  <c:v>2022</c:v>
                </c:pt>
              </c:strCache>
            </c:strRef>
          </c:cat>
          <c:val>
            <c:numRef>
              <c:f>'Pivot Report'!$K$4:$K$5</c:f>
              <c:numCache>
                <c:formatCode>General</c:formatCode>
                <c:ptCount val="1"/>
                <c:pt idx="0">
                  <c:v>738</c:v>
                </c:pt>
              </c:numCache>
            </c:numRef>
          </c:val>
          <c:extLst>
            <c:ext xmlns:c16="http://schemas.microsoft.com/office/drawing/2014/chart" uri="{C3380CC4-5D6E-409C-BE32-E72D297353CC}">
              <c16:uniqueId val="{0000000B-8064-4903-9FC8-22925184E1CE}"/>
            </c:ext>
          </c:extLst>
        </c:ser>
        <c:dLbls>
          <c:showLegendKey val="0"/>
          <c:showVal val="0"/>
          <c:showCatName val="0"/>
          <c:showSerName val="0"/>
          <c:showPercent val="0"/>
          <c:showBubbleSize val="0"/>
        </c:dLbls>
        <c:axId val="189853023"/>
        <c:axId val="1679325999"/>
      </c:areaChart>
      <c:catAx>
        <c:axId val="189853023"/>
        <c:scaling>
          <c:orientation val="minMax"/>
        </c:scaling>
        <c:delete val="1"/>
        <c:axPos val="b"/>
        <c:numFmt formatCode="General" sourceLinked="1"/>
        <c:majorTickMark val="out"/>
        <c:minorTickMark val="none"/>
        <c:tickLblPos val="nextTo"/>
        <c:crossAx val="1679325999"/>
        <c:crosses val="autoZero"/>
        <c:auto val="1"/>
        <c:lblAlgn val="ctr"/>
        <c:lblOffset val="100"/>
        <c:noMultiLvlLbl val="0"/>
      </c:catAx>
      <c:valAx>
        <c:axId val="1679325999"/>
        <c:scaling>
          <c:orientation val="minMax"/>
        </c:scaling>
        <c:delete val="1"/>
        <c:axPos val="l"/>
        <c:numFmt formatCode="General" sourceLinked="1"/>
        <c:majorTickMark val="none"/>
        <c:minorTickMark val="none"/>
        <c:tickLblPos val="nextTo"/>
        <c:crossAx val="18985302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439024390244"/>
          <c:y val="0.28030223494790429"/>
          <c:w val="0.88475609756097562"/>
          <c:h val="0.70917521673427175"/>
        </c:manualLayout>
      </c:layout>
      <c:areaChart>
        <c:grouping val="standard"/>
        <c:varyColors val="0"/>
        <c:ser>
          <c:idx val="0"/>
          <c:order val="0"/>
          <c:tx>
            <c:strRef>
              <c:f>'Pivot Report'!$N$3</c:f>
              <c:strCache>
                <c:ptCount val="1"/>
                <c:pt idx="0">
                  <c:v>Total</c:v>
                </c:pt>
              </c:strCache>
            </c:strRef>
          </c:tx>
          <c:spPr>
            <a:solidFill>
              <a:schemeClr val="accent1"/>
            </a:solidFill>
            <a:ln w="25400">
              <a:noFill/>
            </a:ln>
            <a:effectLst/>
          </c:spPr>
          <c:cat>
            <c:strRef>
              <c:f>'Pivot Report'!$M$4:$M$5</c:f>
              <c:strCache>
                <c:ptCount val="1"/>
                <c:pt idx="0">
                  <c:v>2022</c:v>
                </c:pt>
              </c:strCache>
            </c:strRef>
          </c:cat>
          <c:val>
            <c:numRef>
              <c:f>'Pivot Report'!$N$4:$N$5</c:f>
              <c:numCache>
                <c:formatCode>General</c:formatCode>
                <c:ptCount val="1"/>
                <c:pt idx="0">
                  <c:v>738</c:v>
                </c:pt>
              </c:numCache>
            </c:numRef>
          </c:val>
          <c:extLst>
            <c:ext xmlns:c16="http://schemas.microsoft.com/office/drawing/2014/chart" uri="{C3380CC4-5D6E-409C-BE32-E72D297353CC}">
              <c16:uniqueId val="{0000000B-C16F-479F-9A62-C1CA5B4D7D22}"/>
            </c:ext>
          </c:extLst>
        </c:ser>
        <c:dLbls>
          <c:showLegendKey val="0"/>
          <c:showVal val="0"/>
          <c:showCatName val="0"/>
          <c:showSerName val="0"/>
          <c:showPercent val="0"/>
          <c:showBubbleSize val="0"/>
        </c:dLbls>
        <c:axId val="977900752"/>
        <c:axId val="844686320"/>
      </c:areaChart>
      <c:catAx>
        <c:axId val="977900752"/>
        <c:scaling>
          <c:orientation val="minMax"/>
        </c:scaling>
        <c:delete val="1"/>
        <c:axPos val="b"/>
        <c:numFmt formatCode="General" sourceLinked="1"/>
        <c:majorTickMark val="out"/>
        <c:minorTickMark val="none"/>
        <c:tickLblPos val="nextTo"/>
        <c:crossAx val="844686320"/>
        <c:crosses val="autoZero"/>
        <c:auto val="1"/>
        <c:lblAlgn val="ctr"/>
        <c:lblOffset val="100"/>
        <c:noMultiLvlLbl val="0"/>
      </c:catAx>
      <c:valAx>
        <c:axId val="844686320"/>
        <c:scaling>
          <c:orientation val="minMax"/>
        </c:scaling>
        <c:delete val="1"/>
        <c:axPos val="l"/>
        <c:numFmt formatCode="General" sourceLinked="1"/>
        <c:majorTickMark val="none"/>
        <c:minorTickMark val="none"/>
        <c:tickLblPos val="nextTo"/>
        <c:crossAx val="97790075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3976377952756902E-4"/>
          <c:w val="1"/>
          <c:h val="0.99936023622047243"/>
        </c:manualLayout>
      </c:layout>
      <c:areaChart>
        <c:grouping val="standard"/>
        <c:varyColors val="0"/>
        <c:ser>
          <c:idx val="0"/>
          <c:order val="0"/>
          <c:tx>
            <c:strRef>
              <c:f>'Pivot Report'!$Q$3</c:f>
              <c:strCache>
                <c:ptCount val="1"/>
                <c:pt idx="0">
                  <c:v>Total</c:v>
                </c:pt>
              </c:strCache>
            </c:strRef>
          </c:tx>
          <c:spPr>
            <a:solidFill>
              <a:schemeClr val="accent1"/>
            </a:solidFill>
            <a:ln w="25400">
              <a:noFill/>
            </a:ln>
            <a:effectLst/>
          </c:spPr>
          <c:cat>
            <c:strRef>
              <c:f>'Pivot Report'!$P$4:$P$5</c:f>
              <c:strCache>
                <c:ptCount val="1"/>
                <c:pt idx="0">
                  <c:v>2022</c:v>
                </c:pt>
              </c:strCache>
            </c:strRef>
          </c:cat>
          <c:val>
            <c:numRef>
              <c:f>'Pivot Report'!$Q$4:$Q$5</c:f>
              <c:numCache>
                <c:formatCode>General</c:formatCode>
                <c:ptCount val="1"/>
                <c:pt idx="0">
                  <c:v>4</c:v>
                </c:pt>
              </c:numCache>
            </c:numRef>
          </c:val>
          <c:extLst>
            <c:ext xmlns:c16="http://schemas.microsoft.com/office/drawing/2014/chart" uri="{C3380CC4-5D6E-409C-BE32-E72D297353CC}">
              <c16:uniqueId val="{0000000B-7E12-46C5-B050-B57DD1D1C7F8}"/>
            </c:ext>
          </c:extLst>
        </c:ser>
        <c:dLbls>
          <c:showLegendKey val="0"/>
          <c:showVal val="0"/>
          <c:showCatName val="0"/>
          <c:showSerName val="0"/>
          <c:showPercent val="0"/>
          <c:showBubbleSize val="0"/>
        </c:dLbls>
        <c:axId val="1597546112"/>
        <c:axId val="844732880"/>
      </c:areaChart>
      <c:catAx>
        <c:axId val="1597546112"/>
        <c:scaling>
          <c:orientation val="minMax"/>
        </c:scaling>
        <c:delete val="1"/>
        <c:axPos val="b"/>
        <c:numFmt formatCode="General" sourceLinked="1"/>
        <c:majorTickMark val="out"/>
        <c:minorTickMark val="none"/>
        <c:tickLblPos val="nextTo"/>
        <c:crossAx val="844732880"/>
        <c:crosses val="autoZero"/>
        <c:auto val="1"/>
        <c:lblAlgn val="ctr"/>
        <c:lblOffset val="100"/>
        <c:noMultiLvlLbl val="0"/>
      </c:catAx>
      <c:valAx>
        <c:axId val="844732880"/>
        <c:scaling>
          <c:orientation val="minMax"/>
        </c:scaling>
        <c:delete val="1"/>
        <c:axPos val="l"/>
        <c:numFmt formatCode="General" sourceLinked="1"/>
        <c:majorTickMark val="none"/>
        <c:minorTickMark val="none"/>
        <c:tickLblPos val="nextTo"/>
        <c:crossAx val="1597546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Report!PivotTable10</c:name>
    <c:fmtId val="19"/>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Report'!$E$22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Report'!$D$23:$D$24</c:f>
              <c:strCache>
                <c:ptCount val="1"/>
                <c:pt idx="0">
                  <c:v>2022</c:v>
                </c:pt>
              </c:strCache>
            </c:strRef>
          </c:cat>
          <c:val>
            <c:numRef>
              <c:f>'Pivot Report'!$E$23:$E$24</c:f>
              <c:numCache>
                <c:formatCode>General</c:formatCode>
                <c:ptCount val="1"/>
                <c:pt idx="0">
                  <c:v>738</c:v>
                </c:pt>
              </c:numCache>
            </c:numRef>
          </c:val>
          <c:smooth val="0"/>
          <c:extLst>
            <c:ext xmlns:c16="http://schemas.microsoft.com/office/drawing/2014/chart" uri="{C3380CC4-5D6E-409C-BE32-E72D297353CC}">
              <c16:uniqueId val="{0000000B-C046-4CF0-B236-1BAE9330B969}"/>
            </c:ext>
          </c:extLst>
        </c:ser>
        <c:dLbls>
          <c:showLegendKey val="0"/>
          <c:showVal val="0"/>
          <c:showCatName val="0"/>
          <c:showSerName val="0"/>
          <c:showPercent val="0"/>
          <c:showBubbleSize val="0"/>
        </c:dLbls>
        <c:marker val="1"/>
        <c:smooth val="0"/>
        <c:axId val="977914672"/>
        <c:axId val="844680080"/>
      </c:lineChart>
      <c:catAx>
        <c:axId val="977914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4680080"/>
        <c:crosses val="autoZero"/>
        <c:auto val="1"/>
        <c:lblAlgn val="ctr"/>
        <c:lblOffset val="100"/>
        <c:noMultiLvlLbl val="0"/>
      </c:catAx>
      <c:valAx>
        <c:axId val="8446800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791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Report!PivotTable15</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alpha val="75000"/>
                    </a:schemeClr>
                  </a:solidFill>
                  <a:effectLst>
                    <a:glow>
                      <a:schemeClr val="accent1">
                        <a:alpha val="51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75000"/>
                    </a:schemeClr>
                  </a:solidFill>
                  <a:effectLst>
                    <a:glow>
                      <a:schemeClr val="accent1">
                        <a:alpha val="51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75000"/>
                    </a:schemeClr>
                  </a:solidFill>
                  <a:effectLst>
                    <a:glow>
                      <a:schemeClr val="accent1">
                        <a:alpha val="51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Report'!$H$22</c:f>
              <c:strCache>
                <c:ptCount val="1"/>
                <c:pt idx="0">
                  <c:v>Total</c:v>
                </c:pt>
              </c:strCache>
            </c:strRef>
          </c:tx>
          <c:spPr>
            <a:solidFill>
              <a:schemeClr val="accent1"/>
            </a:solidFill>
            <a:ln>
              <a:noFill/>
            </a:ln>
            <a:effectLst/>
          </c:spPr>
          <c:invertIfNegative val="0"/>
          <c:cat>
            <c:strRef>
              <c:f>'Pivot Report'!$G$23:$G$24</c:f>
              <c:strCache>
                <c:ptCount val="1"/>
                <c:pt idx="0">
                  <c:v>Allergies</c:v>
                </c:pt>
              </c:strCache>
            </c:strRef>
          </c:cat>
          <c:val>
            <c:numRef>
              <c:f>'Pivot Report'!$H$23:$H$24</c:f>
              <c:numCache>
                <c:formatCode>General</c:formatCode>
                <c:ptCount val="1"/>
                <c:pt idx="0">
                  <c:v>738</c:v>
                </c:pt>
              </c:numCache>
            </c:numRef>
          </c:val>
          <c:extLst>
            <c:ext xmlns:c16="http://schemas.microsoft.com/office/drawing/2014/chart" uri="{C3380CC4-5D6E-409C-BE32-E72D297353CC}">
              <c16:uniqueId val="{0000000B-2B90-4CE2-AB97-6D637169B0E4}"/>
            </c:ext>
          </c:extLst>
        </c:ser>
        <c:dLbls>
          <c:showLegendKey val="0"/>
          <c:showVal val="0"/>
          <c:showCatName val="0"/>
          <c:showSerName val="0"/>
          <c:showPercent val="0"/>
          <c:showBubbleSize val="0"/>
        </c:dLbls>
        <c:gapWidth val="300"/>
        <c:axId val="977915136"/>
        <c:axId val="844759280"/>
      </c:barChart>
      <c:catAx>
        <c:axId val="97791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75000"/>
                  </a:schemeClr>
                </a:solidFill>
                <a:effectLst>
                  <a:glow>
                    <a:schemeClr val="accent1">
                      <a:alpha val="51000"/>
                    </a:schemeClr>
                  </a:glow>
                </a:effectLst>
                <a:latin typeface="+mn-lt"/>
                <a:ea typeface="+mn-ea"/>
                <a:cs typeface="+mn-cs"/>
              </a:defRPr>
            </a:pPr>
            <a:endParaRPr lang="en-US"/>
          </a:p>
        </c:txPr>
        <c:crossAx val="844759280"/>
        <c:crosses val="autoZero"/>
        <c:auto val="1"/>
        <c:lblAlgn val="ctr"/>
        <c:lblOffset val="100"/>
        <c:noMultiLvlLbl val="0"/>
      </c:catAx>
      <c:valAx>
        <c:axId val="844759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alpha val="75000"/>
                  </a:schemeClr>
                </a:solidFill>
                <a:effectLst>
                  <a:glow>
                    <a:schemeClr val="accent1">
                      <a:alpha val="51000"/>
                    </a:schemeClr>
                  </a:glow>
                </a:effectLst>
                <a:latin typeface="+mn-lt"/>
                <a:ea typeface="+mn-ea"/>
                <a:cs typeface="+mn-cs"/>
              </a:defRPr>
            </a:pPr>
            <a:endParaRPr lang="en-US"/>
          </a:p>
        </c:txPr>
        <c:crossAx val="97791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alpha val="75000"/>
            </a:schemeClr>
          </a:solidFill>
          <a:effectLst>
            <a:glow>
              <a:schemeClr val="accent1">
                <a:alpha val="51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Report!PivotTable16</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9965446926138E-2"/>
          <c:y val="0.13834890071939387"/>
          <c:w val="0.92268894675018209"/>
          <c:h val="0.37796603865812328"/>
        </c:manualLayout>
      </c:layout>
      <c:barChart>
        <c:barDir val="col"/>
        <c:grouping val="clustered"/>
        <c:varyColors val="0"/>
        <c:ser>
          <c:idx val="0"/>
          <c:order val="0"/>
          <c:tx>
            <c:strRef>
              <c:f>'Pivot Report'!$K$22</c:f>
              <c:strCache>
                <c:ptCount val="1"/>
                <c:pt idx="0">
                  <c:v>Total</c:v>
                </c:pt>
              </c:strCache>
            </c:strRef>
          </c:tx>
          <c:spPr>
            <a:solidFill>
              <a:schemeClr val="accent1"/>
            </a:solidFill>
            <a:ln>
              <a:noFill/>
            </a:ln>
            <a:effectLst/>
          </c:spPr>
          <c:invertIfNegative val="0"/>
          <c:cat>
            <c:strRef>
              <c:f>'Pivot Report'!$J$23:$J$24</c:f>
              <c:strCache>
                <c:ptCount val="1"/>
                <c:pt idx="0">
                  <c:v>Antihistamines</c:v>
                </c:pt>
              </c:strCache>
            </c:strRef>
          </c:cat>
          <c:val>
            <c:numRef>
              <c:f>'Pivot Report'!$K$23:$K$24</c:f>
              <c:numCache>
                <c:formatCode>General</c:formatCode>
                <c:ptCount val="1"/>
                <c:pt idx="0">
                  <c:v>1</c:v>
                </c:pt>
              </c:numCache>
            </c:numRef>
          </c:val>
          <c:extLst>
            <c:ext xmlns:c16="http://schemas.microsoft.com/office/drawing/2014/chart" uri="{C3380CC4-5D6E-409C-BE32-E72D297353CC}">
              <c16:uniqueId val="{0000000C-324F-455E-8126-939256DC777C}"/>
            </c:ext>
          </c:extLst>
        </c:ser>
        <c:dLbls>
          <c:showLegendKey val="0"/>
          <c:showVal val="0"/>
          <c:showCatName val="0"/>
          <c:showSerName val="0"/>
          <c:showPercent val="0"/>
          <c:showBubbleSize val="0"/>
        </c:dLbls>
        <c:gapWidth val="300"/>
        <c:axId val="1495176944"/>
        <c:axId val="844734320"/>
      </c:barChart>
      <c:catAx>
        <c:axId val="1495176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alpha val="78000"/>
                  </a:schemeClr>
                </a:solidFill>
                <a:latin typeface="+mn-lt"/>
                <a:ea typeface="+mn-ea"/>
                <a:cs typeface="+mn-cs"/>
              </a:defRPr>
            </a:pPr>
            <a:endParaRPr lang="en-US"/>
          </a:p>
        </c:txPr>
        <c:crossAx val="844734320"/>
        <c:crosses val="autoZero"/>
        <c:auto val="1"/>
        <c:lblAlgn val="ctr"/>
        <c:lblOffset val="100"/>
        <c:noMultiLvlLbl val="0"/>
      </c:catAx>
      <c:valAx>
        <c:axId val="84473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7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Report!PivotTable17</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9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8429319757189"/>
          <c:y val="3.9974851052363702E-2"/>
          <c:w val="0.82470275590551179"/>
          <c:h val="0.59660250801983084"/>
        </c:manualLayout>
      </c:layout>
      <c:barChart>
        <c:barDir val="col"/>
        <c:grouping val="clustered"/>
        <c:varyColors val="0"/>
        <c:ser>
          <c:idx val="0"/>
          <c:order val="0"/>
          <c:tx>
            <c:strRef>
              <c:f>'Pivot Report'!$N$22</c:f>
              <c:strCache>
                <c:ptCount val="1"/>
                <c:pt idx="0">
                  <c:v>Total</c:v>
                </c:pt>
              </c:strCache>
            </c:strRef>
          </c:tx>
          <c:spPr>
            <a:solidFill>
              <a:schemeClr val="accent1"/>
            </a:solidFill>
            <a:ln>
              <a:noFill/>
            </a:ln>
            <a:effectLst/>
          </c:spPr>
          <c:invertIfNegative val="0"/>
          <c:cat>
            <c:strRef>
              <c:f>'Pivot Report'!$M$23:$M$24</c:f>
              <c:strCache>
                <c:ptCount val="1"/>
                <c:pt idx="0">
                  <c:v>Antihistamines</c:v>
                </c:pt>
              </c:strCache>
            </c:strRef>
          </c:cat>
          <c:val>
            <c:numRef>
              <c:f>'Pivot Report'!$N$23:$N$24</c:f>
              <c:numCache>
                <c:formatCode>0.00</c:formatCode>
                <c:ptCount val="1"/>
                <c:pt idx="0">
                  <c:v>738</c:v>
                </c:pt>
              </c:numCache>
            </c:numRef>
          </c:val>
          <c:extLst>
            <c:ext xmlns:c16="http://schemas.microsoft.com/office/drawing/2014/chart" uri="{C3380CC4-5D6E-409C-BE32-E72D297353CC}">
              <c16:uniqueId val="{0000000B-6A79-41C5-BC8E-6B568E99365F}"/>
            </c:ext>
          </c:extLst>
        </c:ser>
        <c:dLbls>
          <c:showLegendKey val="0"/>
          <c:showVal val="0"/>
          <c:showCatName val="0"/>
          <c:showSerName val="0"/>
          <c:showPercent val="0"/>
          <c:showBubbleSize val="0"/>
        </c:dLbls>
        <c:gapWidth val="300"/>
        <c:axId val="1257572256"/>
        <c:axId val="383877936"/>
      </c:barChart>
      <c:catAx>
        <c:axId val="125757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90" b="0" i="0" u="none" strike="noStrike" kern="1200" baseline="0">
                <a:solidFill>
                  <a:schemeClr val="tx1">
                    <a:lumMod val="65000"/>
                    <a:lumOff val="35000"/>
                  </a:schemeClr>
                </a:solidFill>
                <a:latin typeface="+mn-lt"/>
                <a:ea typeface="+mn-ea"/>
                <a:cs typeface="+mn-cs"/>
              </a:defRPr>
            </a:pPr>
            <a:endParaRPr lang="en-US"/>
          </a:p>
        </c:txPr>
        <c:crossAx val="383877936"/>
        <c:crosses val="autoZero"/>
        <c:auto val="1"/>
        <c:lblAlgn val="ctr"/>
        <c:lblOffset val="100"/>
        <c:noMultiLvlLbl val="0"/>
      </c:catAx>
      <c:valAx>
        <c:axId val="383877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90" b="0" i="0" u="none" strike="noStrike" kern="1200" baseline="0">
                <a:solidFill>
                  <a:schemeClr val="tx1">
                    <a:lumMod val="65000"/>
                    <a:lumOff val="35000"/>
                  </a:schemeClr>
                </a:solidFill>
                <a:latin typeface="+mn-lt"/>
                <a:ea typeface="+mn-ea"/>
                <a:cs typeface="+mn-cs"/>
              </a:defRPr>
            </a:pPr>
            <a:endParaRPr lang="en-US"/>
          </a:p>
        </c:txPr>
        <c:crossAx val="125757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9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Report!PivotTable18</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8.7599937104636122E-3"/>
          <c:y val="0.17046252551764363"/>
          <c:w val="0.87764009337542481"/>
          <c:h val="0.82953747448235637"/>
        </c:manualLayout>
      </c:layout>
      <c:doughnutChart>
        <c:varyColors val="1"/>
        <c:ser>
          <c:idx val="0"/>
          <c:order val="0"/>
          <c:tx>
            <c:strRef>
              <c:f>'Pivot Report'!$Q$22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0F-4D9E-A905-2B08B6BB6A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Report'!$P$23:$P$24</c:f>
              <c:strCache>
                <c:ptCount val="1"/>
                <c:pt idx="0">
                  <c:v>Male</c:v>
                </c:pt>
              </c:strCache>
            </c:strRef>
          </c:cat>
          <c:val>
            <c:numRef>
              <c:f>'Pivot Report'!$Q$23:$Q$24</c:f>
              <c:numCache>
                <c:formatCode>General</c:formatCode>
                <c:ptCount val="1"/>
                <c:pt idx="0">
                  <c:v>1</c:v>
                </c:pt>
              </c:numCache>
            </c:numRef>
          </c:val>
          <c:extLst>
            <c:ext xmlns:c16="http://schemas.microsoft.com/office/drawing/2014/chart" uri="{C3380CC4-5D6E-409C-BE32-E72D297353CC}">
              <c16:uniqueId val="{0000000D-7129-42C6-ACCC-A7BE396CC3E2}"/>
            </c:ext>
          </c:extLst>
        </c:ser>
        <c:dLbls>
          <c:showLegendKey val="0"/>
          <c:showVal val="1"/>
          <c:showCatName val="0"/>
          <c:showSerName val="0"/>
          <c:showPercent val="0"/>
          <c:showBubbleSize val="0"/>
          <c:showLeaderLines val="1"/>
        </c:dLbls>
        <c:firstSliceAng val="0"/>
        <c:holeSize val="42"/>
      </c:doughnutChart>
      <c:spPr>
        <a:noFill/>
        <a:ln>
          <a:noFill/>
        </a:ln>
        <a:effectLst/>
      </c:spPr>
    </c:plotArea>
    <c:legend>
      <c:legendPos val="t"/>
      <c:layout>
        <c:manualLayout>
          <c:xMode val="edge"/>
          <c:yMode val="edge"/>
          <c:x val="0.15644617003519723"/>
          <c:y val="2.2222222222222223E-2"/>
          <c:w val="0.68710765992960554"/>
          <c:h val="0.1384572761738116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Report!PivotTable10</c:name>
    <c:fmtId val="2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900" b="1">
                <a:latin typeface="Segoeui"/>
              </a:rPr>
              <a:t>Revenue</a:t>
            </a:r>
            <a:r>
              <a:rPr lang="en-US" sz="900" b="1" baseline="0">
                <a:latin typeface="Segoeui"/>
              </a:rPr>
              <a:t> by AdmitYear</a:t>
            </a:r>
            <a:r>
              <a:rPr lang="en-US" sz="900" b="1">
                <a:latin typeface="Segoeui"/>
              </a:rPr>
              <a:t>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Report'!$E$22</c:f>
              <c:strCache>
                <c:ptCount val="1"/>
                <c:pt idx="0">
                  <c:v>Total</c:v>
                </c:pt>
              </c:strCache>
            </c:strRef>
          </c:tx>
          <c:spPr>
            <a:solidFill>
              <a:schemeClr val="accent1"/>
            </a:solidFill>
            <a:ln>
              <a:noFill/>
            </a:ln>
            <a:effectLst/>
          </c:spPr>
          <c:invertIfNegative val="0"/>
          <c:cat>
            <c:strRef>
              <c:f>'Pivot Report'!$D$23:$D$24</c:f>
              <c:strCache>
                <c:ptCount val="1"/>
                <c:pt idx="0">
                  <c:v>2022</c:v>
                </c:pt>
              </c:strCache>
            </c:strRef>
          </c:cat>
          <c:val>
            <c:numRef>
              <c:f>'Pivot Report'!$E$23:$E$24</c:f>
              <c:numCache>
                <c:formatCode>General</c:formatCode>
                <c:ptCount val="1"/>
                <c:pt idx="0">
                  <c:v>738</c:v>
                </c:pt>
              </c:numCache>
            </c:numRef>
          </c:val>
          <c:extLst>
            <c:ext xmlns:c16="http://schemas.microsoft.com/office/drawing/2014/chart" uri="{C3380CC4-5D6E-409C-BE32-E72D297353CC}">
              <c16:uniqueId val="{0000000B-488B-4283-96C9-E716E8D72181}"/>
            </c:ext>
          </c:extLst>
        </c:ser>
        <c:dLbls>
          <c:showLegendKey val="0"/>
          <c:showVal val="0"/>
          <c:showCatName val="0"/>
          <c:showSerName val="0"/>
          <c:showPercent val="0"/>
          <c:showBubbleSize val="0"/>
        </c:dLbls>
        <c:gapWidth val="250"/>
        <c:axId val="721889615"/>
        <c:axId val="1200753552"/>
      </c:barChart>
      <c:catAx>
        <c:axId val="721889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753552"/>
        <c:crosses val="autoZero"/>
        <c:auto val="1"/>
        <c:lblAlgn val="ctr"/>
        <c:lblOffset val="100"/>
        <c:noMultiLvlLbl val="0"/>
      </c:catAx>
      <c:valAx>
        <c:axId val="1200753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1" i="0" u="none" strike="noStrike" kern="1200" baseline="0">
                    <a:solidFill>
                      <a:schemeClr val="tx1">
                        <a:lumMod val="65000"/>
                        <a:lumOff val="35000"/>
                      </a:schemeClr>
                    </a:solidFill>
                    <a:latin typeface="Segoeui"/>
                    <a:ea typeface="+mn-ea"/>
                    <a:cs typeface="+mn-cs"/>
                  </a:defRPr>
                </a:pPr>
                <a:r>
                  <a:rPr lang="en-IN" sz="800" b="1">
                    <a:latin typeface="Segoeui"/>
                  </a:rPr>
                  <a:t> Sum</a:t>
                </a:r>
                <a:r>
                  <a:rPr lang="en-IN" sz="800" b="1" baseline="0">
                    <a:latin typeface="Segoeui"/>
                  </a:rPr>
                  <a:t> of Bill Amount</a:t>
                </a:r>
                <a:endParaRPr lang="en-IN" sz="800" b="1">
                  <a:latin typeface="Segoeui"/>
                </a:endParaRPr>
              </a:p>
            </c:rich>
          </c:tx>
          <c:layout>
            <c:manualLayout>
              <c:xMode val="edge"/>
              <c:yMode val="edge"/>
              <c:x val="2.7548209366391185E-2"/>
              <c:y val="0.28658644231970998"/>
            </c:manualLayout>
          </c:layout>
          <c:overlay val="0"/>
          <c:spPr>
            <a:noFill/>
            <a:ln>
              <a:noFill/>
            </a:ln>
            <a:effectLst/>
          </c:spPr>
          <c:txPr>
            <a:bodyPr rot="-5400000" spcFirstLastPara="1" vertOverflow="ellipsis" vert="horz" wrap="square" anchor="ctr" anchorCtr="1"/>
            <a:lstStyle/>
            <a:p>
              <a:pPr>
                <a:defRPr sz="800" b="1" i="0" u="none" strike="noStrike" kern="1200" baseline="0">
                  <a:solidFill>
                    <a:schemeClr val="tx1">
                      <a:lumMod val="65000"/>
                      <a:lumOff val="35000"/>
                    </a:schemeClr>
                  </a:solidFill>
                  <a:latin typeface="Segoeui"/>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1889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Report!PivotTable22</c:name>
    <c:fmtId val="37"/>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ui"/>
                <a:ea typeface="+mn-ea"/>
                <a:cs typeface="+mn-cs"/>
              </a:defRPr>
            </a:pPr>
            <a:r>
              <a:rPr lang="en-US" sz="900" b="1">
                <a:latin typeface="Segoeui"/>
              </a:rPr>
              <a:t>Revenue</a:t>
            </a:r>
            <a:r>
              <a:rPr lang="en-US" sz="900" b="1" baseline="0">
                <a:latin typeface="Segoeui"/>
              </a:rPr>
              <a:t> By Month</a:t>
            </a:r>
            <a:endParaRPr lang="en-US" sz="900" b="1">
              <a:latin typeface="Segoeui"/>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ui"/>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06706304569072"/>
          <c:y val="0.13933531746031746"/>
          <c:w val="0.66615914082168293"/>
          <c:h val="0.54627195038120235"/>
        </c:manualLayout>
      </c:layout>
      <c:lineChart>
        <c:grouping val="standard"/>
        <c:varyColors val="0"/>
        <c:ser>
          <c:idx val="0"/>
          <c:order val="0"/>
          <c:tx>
            <c:strRef>
              <c:f>'Pivot Report'!$E$30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Report'!$D$31:$D$32</c:f>
              <c:strCache>
                <c:ptCount val="1"/>
                <c:pt idx="0">
                  <c:v>May</c:v>
                </c:pt>
              </c:strCache>
            </c:strRef>
          </c:cat>
          <c:val>
            <c:numRef>
              <c:f>'Pivot Report'!$E$31:$E$32</c:f>
              <c:numCache>
                <c:formatCode>General</c:formatCode>
                <c:ptCount val="1"/>
                <c:pt idx="0">
                  <c:v>738</c:v>
                </c:pt>
              </c:numCache>
            </c:numRef>
          </c:val>
          <c:smooth val="0"/>
          <c:extLst>
            <c:ext xmlns:c16="http://schemas.microsoft.com/office/drawing/2014/chart" uri="{C3380CC4-5D6E-409C-BE32-E72D297353CC}">
              <c16:uniqueId val="{0000000B-2687-489D-AF98-4F1CA94B3A37}"/>
            </c:ext>
          </c:extLst>
        </c:ser>
        <c:dLbls>
          <c:showLegendKey val="0"/>
          <c:showVal val="0"/>
          <c:showCatName val="0"/>
          <c:showSerName val="0"/>
          <c:showPercent val="0"/>
          <c:showBubbleSize val="0"/>
        </c:dLbls>
        <c:marker val="1"/>
        <c:smooth val="0"/>
        <c:axId val="721839039"/>
        <c:axId val="1194300368"/>
      </c:lineChart>
      <c:catAx>
        <c:axId val="721839039"/>
        <c:scaling>
          <c:orientation val="minMax"/>
        </c:scaling>
        <c:delete val="0"/>
        <c:axPos val="b"/>
        <c:title>
          <c:tx>
            <c:rich>
              <a:bodyPr rot="0" spcFirstLastPara="1" vertOverflow="ellipsis" vert="horz" wrap="square" anchor="ctr" anchorCtr="1"/>
              <a:lstStyle/>
              <a:p>
                <a:pPr>
                  <a:defRPr sz="800" b="1" i="0" u="none" strike="noStrike" kern="1200" baseline="0">
                    <a:solidFill>
                      <a:schemeClr val="tx1">
                        <a:lumMod val="65000"/>
                        <a:lumOff val="35000"/>
                      </a:schemeClr>
                    </a:solidFill>
                    <a:latin typeface="Segoeui"/>
                    <a:ea typeface="+mn-ea"/>
                    <a:cs typeface="+mn-cs"/>
                  </a:defRPr>
                </a:pPr>
                <a:r>
                  <a:rPr lang="en-IN" sz="800" b="1">
                    <a:latin typeface="Segoeui"/>
                  </a:rPr>
                  <a:t>Month</a:t>
                </a:r>
              </a:p>
            </c:rich>
          </c:tx>
          <c:layout>
            <c:manualLayout>
              <c:xMode val="edge"/>
              <c:yMode val="edge"/>
              <c:x val="0.44428966468477155"/>
              <c:y val="0.8709325396825397"/>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Segoeui"/>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300368"/>
        <c:crosses val="autoZero"/>
        <c:auto val="1"/>
        <c:lblAlgn val="ctr"/>
        <c:lblOffset val="100"/>
        <c:noMultiLvlLbl val="0"/>
      </c:catAx>
      <c:valAx>
        <c:axId val="1194300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1" i="0" u="none" strike="noStrike" kern="1200" baseline="0">
                    <a:solidFill>
                      <a:schemeClr val="tx1">
                        <a:lumMod val="65000"/>
                        <a:lumOff val="35000"/>
                      </a:schemeClr>
                    </a:solidFill>
                    <a:latin typeface="Segoeui"/>
                    <a:ea typeface="+mn-ea"/>
                    <a:cs typeface="+mn-cs"/>
                  </a:defRPr>
                </a:pPr>
                <a:r>
                  <a:rPr lang="en-IN" sz="800" b="1">
                    <a:latin typeface="Segoeui"/>
                  </a:rPr>
                  <a:t>Sum</a:t>
                </a:r>
                <a:r>
                  <a:rPr lang="en-IN" sz="800" b="1" baseline="0">
                    <a:latin typeface="Segoeui"/>
                  </a:rPr>
                  <a:t> Of Bill Amount</a:t>
                </a:r>
                <a:endParaRPr lang="en-IN" sz="800" b="1">
                  <a:latin typeface="Segoeui"/>
                </a:endParaRPr>
              </a:p>
            </c:rich>
          </c:tx>
          <c:layout>
            <c:manualLayout>
              <c:xMode val="edge"/>
              <c:yMode val="edge"/>
              <c:x val="3.4013605442176874E-2"/>
              <c:y val="0.25623359580052496"/>
            </c:manualLayout>
          </c:layout>
          <c:overlay val="0"/>
          <c:spPr>
            <a:noFill/>
            <a:ln>
              <a:noFill/>
            </a:ln>
            <a:effectLst/>
          </c:spPr>
          <c:txPr>
            <a:bodyPr rot="-5400000" spcFirstLastPara="1" vertOverflow="ellipsis" vert="horz" wrap="square" anchor="ctr" anchorCtr="1"/>
            <a:lstStyle/>
            <a:p>
              <a:pPr>
                <a:defRPr sz="800" b="1" i="0" u="none" strike="noStrike" kern="1200" baseline="0">
                  <a:solidFill>
                    <a:schemeClr val="tx1">
                      <a:lumMod val="65000"/>
                      <a:lumOff val="35000"/>
                    </a:schemeClr>
                  </a:solidFill>
                  <a:latin typeface="Segoeui"/>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83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Report!PivotTable15</c:name>
    <c:fmtId val="51"/>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ui"/>
                <a:ea typeface="+mn-ea"/>
                <a:cs typeface="+mn-cs"/>
              </a:defRPr>
            </a:pPr>
            <a:r>
              <a:rPr lang="en-IN" sz="900" b="1">
                <a:latin typeface="Segoeui"/>
              </a:rPr>
              <a:t>Revenue</a:t>
            </a:r>
            <a:r>
              <a:rPr lang="en-IN" sz="900" b="1" baseline="0">
                <a:latin typeface="Segoeui"/>
              </a:rPr>
              <a:t> By Mediical Condition</a:t>
            </a:r>
            <a:endParaRPr lang="en-IN" sz="900" b="1">
              <a:latin typeface="Segoeui"/>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ui"/>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lumMod val="75000"/>
            </a:schemeClr>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s>
    <c:plotArea>
      <c:layout>
        <c:manualLayout>
          <c:layoutTarget val="inner"/>
          <c:xMode val="edge"/>
          <c:yMode val="edge"/>
          <c:x val="4.7014435695538065E-2"/>
          <c:y val="0.16249240031436749"/>
          <c:w val="0.63216180008748901"/>
          <c:h val="0.68573483399320834"/>
        </c:manualLayout>
      </c:layout>
      <c:doughnutChart>
        <c:varyColors val="1"/>
        <c:ser>
          <c:idx val="0"/>
          <c:order val="0"/>
          <c:tx>
            <c:strRef>
              <c:f>'Pivot Report'!$H$22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0D-4C96-9E6F-58CBBC596D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Report'!$G$23:$G$24</c:f>
              <c:strCache>
                <c:ptCount val="1"/>
                <c:pt idx="0">
                  <c:v>Allergies</c:v>
                </c:pt>
              </c:strCache>
            </c:strRef>
          </c:cat>
          <c:val>
            <c:numRef>
              <c:f>'Pivot Report'!$H$23:$H$24</c:f>
              <c:numCache>
                <c:formatCode>General</c:formatCode>
                <c:ptCount val="1"/>
                <c:pt idx="0">
                  <c:v>738</c:v>
                </c:pt>
              </c:numCache>
            </c:numRef>
          </c:val>
          <c:extLst>
            <c:ext xmlns:c16="http://schemas.microsoft.com/office/drawing/2014/chart" uri="{C3380CC4-5D6E-409C-BE32-E72D297353CC}">
              <c16:uniqueId val="{0000000D-60B9-4914-B869-05E28706D6A2}"/>
            </c:ext>
          </c:extLst>
        </c:ser>
        <c:dLbls>
          <c:showLegendKey val="0"/>
          <c:showVal val="1"/>
          <c:showCatName val="0"/>
          <c:showSerName val="0"/>
          <c:showPercent val="0"/>
          <c:showBubbleSize val="0"/>
          <c:showLeaderLines val="1"/>
        </c:dLbls>
        <c:firstSliceAng val="0"/>
        <c:holeSize val="3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Segoeui"/>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Report!PivotTable16</c:name>
    <c:fmtId val="36"/>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ui"/>
                <a:ea typeface="+mn-ea"/>
                <a:cs typeface="+mn-cs"/>
              </a:defRPr>
            </a:pPr>
            <a:r>
              <a:rPr lang="en-US" sz="900"/>
              <a:t>Patient</a:t>
            </a:r>
            <a:r>
              <a:rPr lang="en-US" sz="900" baseline="0"/>
              <a:t> By Treatment</a:t>
            </a:r>
            <a:endParaRPr lang="en-US" sz="900"/>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ui"/>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Segoeui"/>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ui"/>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ui"/>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Report'!$K$22</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u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Report'!$J$23:$J$24</c:f>
              <c:strCache>
                <c:ptCount val="1"/>
                <c:pt idx="0">
                  <c:v>Antihistamines</c:v>
                </c:pt>
              </c:strCache>
            </c:strRef>
          </c:cat>
          <c:val>
            <c:numRef>
              <c:f>'Pivot Report'!$K$23:$K$24</c:f>
              <c:numCache>
                <c:formatCode>General</c:formatCode>
                <c:ptCount val="1"/>
                <c:pt idx="0">
                  <c:v>1</c:v>
                </c:pt>
              </c:numCache>
            </c:numRef>
          </c:val>
          <c:extLst>
            <c:ext xmlns:c16="http://schemas.microsoft.com/office/drawing/2014/chart" uri="{C3380CC4-5D6E-409C-BE32-E72D297353CC}">
              <c16:uniqueId val="{0000000C-0D8B-4133-9CB4-894EFF965AEE}"/>
            </c:ext>
          </c:extLst>
        </c:ser>
        <c:dLbls>
          <c:showLegendKey val="0"/>
          <c:showVal val="0"/>
          <c:showCatName val="0"/>
          <c:showSerName val="0"/>
          <c:showPercent val="0"/>
          <c:showBubbleSize val="0"/>
        </c:dLbls>
        <c:gapWidth val="250"/>
        <c:axId val="721917919"/>
        <c:axId val="1200744432"/>
      </c:barChart>
      <c:catAx>
        <c:axId val="72191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Segoeui"/>
                <a:ea typeface="+mn-ea"/>
                <a:cs typeface="+mn-cs"/>
              </a:defRPr>
            </a:pPr>
            <a:endParaRPr lang="en-US"/>
          </a:p>
        </c:txPr>
        <c:crossAx val="1200744432"/>
        <c:crosses val="autoZero"/>
        <c:auto val="1"/>
        <c:lblAlgn val="ctr"/>
        <c:lblOffset val="100"/>
        <c:noMultiLvlLbl val="0"/>
      </c:catAx>
      <c:valAx>
        <c:axId val="120074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Segoeui"/>
                <a:ea typeface="+mn-ea"/>
                <a:cs typeface="+mn-cs"/>
              </a:defRPr>
            </a:pPr>
            <a:endParaRPr lang="en-US"/>
          </a:p>
        </c:txPr>
        <c:crossAx val="721917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Segoeui"/>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b="1">
          <a:latin typeface="Segoe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Report!PivotTable17</c:name>
    <c:fmtId val="38"/>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ui"/>
                <a:ea typeface="+mn-ea"/>
                <a:cs typeface="+mn-cs"/>
              </a:defRPr>
            </a:pPr>
            <a:r>
              <a:rPr lang="en-US" sz="900" b="1">
                <a:latin typeface="Segoeui"/>
              </a:rPr>
              <a:t>Average</a:t>
            </a:r>
            <a:r>
              <a:rPr lang="en-US" sz="900" b="1" baseline="0">
                <a:latin typeface="Segoeui"/>
              </a:rPr>
              <a:t> Bill By Treatment</a:t>
            </a:r>
            <a:endParaRPr lang="en-US" sz="900" b="1">
              <a:latin typeface="Segoeui"/>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ui"/>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6E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geo ui"/>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Report'!$N$22</c:f>
              <c:strCache>
                <c:ptCount val="1"/>
                <c:pt idx="0">
                  <c:v>Total</c:v>
                </c:pt>
              </c:strCache>
            </c:strRef>
          </c:tx>
          <c:spPr>
            <a:solidFill>
              <a:srgbClr val="C06EE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geo u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Report'!$M$23:$M$24</c:f>
              <c:strCache>
                <c:ptCount val="1"/>
                <c:pt idx="0">
                  <c:v>Antihistamines</c:v>
                </c:pt>
              </c:strCache>
            </c:strRef>
          </c:cat>
          <c:val>
            <c:numRef>
              <c:f>'Pivot Report'!$N$23:$N$24</c:f>
              <c:numCache>
                <c:formatCode>0.00</c:formatCode>
                <c:ptCount val="1"/>
                <c:pt idx="0">
                  <c:v>738</c:v>
                </c:pt>
              </c:numCache>
            </c:numRef>
          </c:val>
          <c:extLst>
            <c:ext xmlns:c16="http://schemas.microsoft.com/office/drawing/2014/chart" uri="{C3380CC4-5D6E-409C-BE32-E72D297353CC}">
              <c16:uniqueId val="{0000000C-A7D9-42E8-AABA-CA335FE2E7E7}"/>
            </c:ext>
          </c:extLst>
        </c:ser>
        <c:dLbls>
          <c:showLegendKey val="0"/>
          <c:showVal val="0"/>
          <c:showCatName val="0"/>
          <c:showSerName val="0"/>
          <c:showPercent val="0"/>
          <c:showBubbleSize val="0"/>
        </c:dLbls>
        <c:gapWidth val="250"/>
        <c:axId val="721882655"/>
        <c:axId val="1200738672"/>
      </c:barChart>
      <c:catAx>
        <c:axId val="721882655"/>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Segoeui"/>
                <a:ea typeface="+mn-ea"/>
                <a:cs typeface="+mn-cs"/>
              </a:defRPr>
            </a:pPr>
            <a:endParaRPr lang="en-US"/>
          </a:p>
        </c:txPr>
        <c:crossAx val="1200738672"/>
        <c:crosses val="autoZero"/>
        <c:auto val="1"/>
        <c:lblAlgn val="ctr"/>
        <c:lblOffset val="100"/>
        <c:noMultiLvlLbl val="0"/>
      </c:catAx>
      <c:valAx>
        <c:axId val="1200738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ui"/>
                <a:ea typeface="+mn-ea"/>
                <a:cs typeface="+mn-cs"/>
              </a:defRPr>
            </a:pPr>
            <a:endParaRPr lang="en-US"/>
          </a:p>
        </c:txPr>
        <c:crossAx val="721882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Report!PivotTable18</c:name>
    <c:fmtId val="34"/>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ui"/>
                <a:ea typeface="+mn-ea"/>
                <a:cs typeface="+mn-cs"/>
              </a:defRPr>
            </a:pPr>
            <a:r>
              <a:rPr lang="en-US" sz="900" b="1">
                <a:latin typeface="Segoeui"/>
              </a:rPr>
              <a:t>Patient</a:t>
            </a:r>
            <a:r>
              <a:rPr lang="en-US" sz="900" b="1" baseline="0">
                <a:latin typeface="Segoeui"/>
              </a:rPr>
              <a:t> By Gender</a:t>
            </a:r>
            <a:endParaRPr lang="en-US" sz="900" b="1">
              <a:latin typeface="Segoeui"/>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ui"/>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9B88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9B883"/>
          </a:solidFill>
          <a:ln w="19050">
            <a:solidFill>
              <a:schemeClr val="lt1"/>
            </a:solidFill>
          </a:ln>
          <a:effectLst/>
        </c:spPr>
      </c:pivotFmt>
    </c:pivotFmts>
    <c:plotArea>
      <c:layout>
        <c:manualLayout>
          <c:layoutTarget val="inner"/>
          <c:xMode val="edge"/>
          <c:yMode val="edge"/>
          <c:x val="9.9601986764684305E-2"/>
          <c:y val="0.16680727409073867"/>
          <c:w val="0.64902899443881967"/>
          <c:h val="0.69103822959630046"/>
        </c:manualLayout>
      </c:layout>
      <c:doughnutChart>
        <c:varyColors val="1"/>
        <c:ser>
          <c:idx val="0"/>
          <c:order val="0"/>
          <c:tx>
            <c:strRef>
              <c:f>'Pivot Report'!$Q$22</c:f>
              <c:strCache>
                <c:ptCount val="1"/>
                <c:pt idx="0">
                  <c:v>Total</c:v>
                </c:pt>
              </c:strCache>
            </c:strRef>
          </c:tx>
          <c:spPr>
            <a:solidFill>
              <a:srgbClr val="F9B883"/>
            </a:solidFill>
          </c:spPr>
          <c:dPt>
            <c:idx val="0"/>
            <c:bubble3D val="0"/>
            <c:spPr>
              <a:solidFill>
                <a:srgbClr val="F9B883"/>
              </a:solidFill>
              <a:ln w="19050">
                <a:solidFill>
                  <a:schemeClr val="lt1"/>
                </a:solidFill>
              </a:ln>
              <a:effectLst/>
            </c:spPr>
            <c:extLst>
              <c:ext xmlns:c16="http://schemas.microsoft.com/office/drawing/2014/chart" uri="{C3380CC4-5D6E-409C-BE32-E72D297353CC}">
                <c16:uniqueId val="{00000001-90FB-4243-A9FD-B0970937388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Report'!$P$23:$P$24</c:f>
              <c:strCache>
                <c:ptCount val="1"/>
                <c:pt idx="0">
                  <c:v>Male</c:v>
                </c:pt>
              </c:strCache>
            </c:strRef>
          </c:cat>
          <c:val>
            <c:numRef>
              <c:f>'Pivot Report'!$Q$23:$Q$24</c:f>
              <c:numCache>
                <c:formatCode>General</c:formatCode>
                <c:ptCount val="1"/>
                <c:pt idx="0">
                  <c:v>1</c:v>
                </c:pt>
              </c:numCache>
            </c:numRef>
          </c:val>
          <c:extLst>
            <c:ext xmlns:c16="http://schemas.microsoft.com/office/drawing/2014/chart" uri="{C3380CC4-5D6E-409C-BE32-E72D297353CC}">
              <c16:uniqueId val="{0000000E-2FC7-43F7-ABD7-C47AF594F1B0}"/>
            </c:ext>
          </c:extLst>
        </c:ser>
        <c:dLbls>
          <c:showLegendKey val="0"/>
          <c:showVal val="0"/>
          <c:showCatName val="0"/>
          <c:showSerName val="0"/>
          <c:showPercent val="0"/>
          <c:showBubbleSize val="0"/>
          <c:showLeaderLines val="1"/>
        </c:dLbls>
        <c:firstSliceAng val="0"/>
        <c:holeSize val="4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Report!PivotTable20</c:name>
    <c:fmtId val="23"/>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ui"/>
                <a:ea typeface="+mn-ea"/>
                <a:cs typeface="+mn-cs"/>
              </a:defRPr>
            </a:pPr>
            <a:r>
              <a:rPr lang="en-US" sz="900" b="1">
                <a:latin typeface="Segoeui"/>
              </a:rPr>
              <a:t>Patient</a:t>
            </a:r>
            <a:r>
              <a:rPr lang="en-US" sz="900" b="1" baseline="0">
                <a:latin typeface="Segoeui"/>
              </a:rPr>
              <a:t> By Madical Condition</a:t>
            </a:r>
            <a:endParaRPr lang="en-US" sz="900" b="1">
              <a:latin typeface="Segoeui"/>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ui"/>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1884026791733"/>
          <c:y val="9.9057539682539678E-2"/>
          <c:w val="0.74082799076344963"/>
          <c:h val="0.51243530999303055"/>
        </c:manualLayout>
      </c:layout>
      <c:barChart>
        <c:barDir val="col"/>
        <c:grouping val="clustered"/>
        <c:varyColors val="0"/>
        <c:ser>
          <c:idx val="0"/>
          <c:order val="0"/>
          <c:tx>
            <c:strRef>
              <c:f>'Pivot Report'!$T$22</c:f>
              <c:strCache>
                <c:ptCount val="1"/>
                <c:pt idx="0">
                  <c:v>Total</c:v>
                </c:pt>
              </c:strCache>
            </c:strRef>
          </c:tx>
          <c:spPr>
            <a:solidFill>
              <a:schemeClr val="accent1"/>
            </a:solidFill>
            <a:ln>
              <a:noFill/>
            </a:ln>
            <a:effectLst/>
          </c:spPr>
          <c:invertIfNegative val="0"/>
          <c:cat>
            <c:strRef>
              <c:f>'Pivot Report'!$S$23:$S$24</c:f>
              <c:strCache>
                <c:ptCount val="1"/>
                <c:pt idx="0">
                  <c:v>Allergies</c:v>
                </c:pt>
              </c:strCache>
            </c:strRef>
          </c:cat>
          <c:val>
            <c:numRef>
              <c:f>'Pivot Report'!$T$23:$T$24</c:f>
              <c:numCache>
                <c:formatCode>General</c:formatCode>
                <c:ptCount val="1"/>
                <c:pt idx="0">
                  <c:v>1</c:v>
                </c:pt>
              </c:numCache>
            </c:numRef>
          </c:val>
          <c:extLst>
            <c:ext xmlns:c16="http://schemas.microsoft.com/office/drawing/2014/chart" uri="{C3380CC4-5D6E-409C-BE32-E72D297353CC}">
              <c16:uniqueId val="{0000000B-9342-445C-9551-88980C06B022}"/>
            </c:ext>
          </c:extLst>
        </c:ser>
        <c:dLbls>
          <c:showLegendKey val="0"/>
          <c:showVal val="0"/>
          <c:showCatName val="0"/>
          <c:showSerName val="0"/>
          <c:showPercent val="0"/>
          <c:showBubbleSize val="0"/>
        </c:dLbls>
        <c:gapWidth val="250"/>
        <c:axId val="721974991"/>
        <c:axId val="1194208208"/>
      </c:barChart>
      <c:catAx>
        <c:axId val="721974991"/>
        <c:scaling>
          <c:orientation val="minMax"/>
        </c:scaling>
        <c:delete val="0"/>
        <c:axPos val="b"/>
        <c:title>
          <c:tx>
            <c:rich>
              <a:bodyPr rot="0" spcFirstLastPara="1" vertOverflow="ellipsis" vert="horz" wrap="square" anchor="ctr" anchorCtr="1"/>
              <a:lstStyle/>
              <a:p>
                <a:pPr>
                  <a:defRPr sz="800" b="1" i="0" u="none" strike="noStrike" kern="1200" baseline="0">
                    <a:solidFill>
                      <a:schemeClr val="tx1">
                        <a:lumMod val="65000"/>
                        <a:lumOff val="35000"/>
                      </a:schemeClr>
                    </a:solidFill>
                    <a:latin typeface="Segoeui"/>
                    <a:ea typeface="+mn-ea"/>
                    <a:cs typeface="+mn-cs"/>
                  </a:defRPr>
                </a:pPr>
                <a:r>
                  <a:rPr lang="en-IN" sz="800" b="1">
                    <a:latin typeface="Segoeui"/>
                  </a:rPr>
                  <a:t>Medical</a:t>
                </a:r>
                <a:r>
                  <a:rPr lang="en-IN" sz="800" b="1" baseline="0">
                    <a:latin typeface="Segoeui"/>
                  </a:rPr>
                  <a:t> Condition</a:t>
                </a:r>
                <a:endParaRPr lang="en-IN" sz="800" b="1">
                  <a:latin typeface="Segoeui"/>
                </a:endParaRPr>
              </a:p>
            </c:rich>
          </c:tx>
          <c:layout>
            <c:manualLayout>
              <c:xMode val="edge"/>
              <c:yMode val="edge"/>
              <c:x val="0.34973609856145033"/>
              <c:y val="0.8188484251968504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Segoeui"/>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Segoeui"/>
                <a:ea typeface="+mn-ea"/>
                <a:cs typeface="+mn-cs"/>
              </a:defRPr>
            </a:pPr>
            <a:endParaRPr lang="en-US"/>
          </a:p>
        </c:txPr>
        <c:crossAx val="1194208208"/>
        <c:crosses val="autoZero"/>
        <c:auto val="1"/>
        <c:lblAlgn val="ctr"/>
        <c:lblOffset val="100"/>
        <c:noMultiLvlLbl val="0"/>
      </c:catAx>
      <c:valAx>
        <c:axId val="1194208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1" i="0" u="none" strike="noStrike" kern="1200" baseline="0">
                    <a:solidFill>
                      <a:schemeClr val="tx1">
                        <a:lumMod val="65000"/>
                        <a:lumOff val="35000"/>
                      </a:schemeClr>
                    </a:solidFill>
                    <a:latin typeface="Segoeui"/>
                    <a:ea typeface="+mn-ea"/>
                    <a:cs typeface="+mn-cs"/>
                  </a:defRPr>
                </a:pPr>
                <a:r>
                  <a:rPr lang="en-IN" sz="800" b="1">
                    <a:latin typeface="Segoeui"/>
                  </a:rPr>
                  <a:t>Coount</a:t>
                </a:r>
                <a:r>
                  <a:rPr lang="en-IN" sz="800" b="1" baseline="0">
                    <a:latin typeface="Segoeui"/>
                  </a:rPr>
                  <a:t> Of Patient ID</a:t>
                </a:r>
                <a:endParaRPr lang="en-IN" sz="800" b="1">
                  <a:latin typeface="Segoeui"/>
                </a:endParaRPr>
              </a:p>
            </c:rich>
          </c:tx>
          <c:layout>
            <c:manualLayout>
              <c:xMode val="edge"/>
              <c:yMode val="edge"/>
              <c:x val="0"/>
              <c:y val="0.16245370370370371"/>
            </c:manualLayout>
          </c:layout>
          <c:overlay val="0"/>
          <c:spPr>
            <a:noFill/>
            <a:ln>
              <a:noFill/>
            </a:ln>
            <a:effectLst/>
          </c:spPr>
          <c:txPr>
            <a:bodyPr rot="-5400000" spcFirstLastPara="1" vertOverflow="ellipsis" vert="horz" wrap="square" anchor="ctr" anchorCtr="1"/>
            <a:lstStyle/>
            <a:p>
              <a:pPr>
                <a:defRPr sz="800" b="1" i="0" u="none" strike="noStrike" kern="1200" baseline="0">
                  <a:solidFill>
                    <a:schemeClr val="tx1">
                      <a:lumMod val="65000"/>
                      <a:lumOff val="35000"/>
                    </a:schemeClr>
                  </a:solidFill>
                  <a:latin typeface="Segoeui"/>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974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Report!PivotTable10</c:name>
    <c:fmtId val="28"/>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aoge ui"/>
                <a:ea typeface="+mn-ea"/>
                <a:cs typeface="+mn-cs"/>
              </a:defRPr>
            </a:pPr>
            <a:r>
              <a:rPr lang="en-US" sz="1000" b="1">
                <a:latin typeface="Saoge ui"/>
              </a:rPr>
              <a:t>Revenue</a:t>
            </a:r>
            <a:r>
              <a:rPr lang="en-US" sz="1000" b="1" baseline="0">
                <a:latin typeface="Saoge ui"/>
              </a:rPr>
              <a:t> By Admit Year</a:t>
            </a:r>
            <a:endParaRPr lang="en-US" sz="1000" b="1">
              <a:latin typeface="Saoge ui"/>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aoge ui"/>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Report'!$E$22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Report'!$D$23:$D$24</c:f>
              <c:strCache>
                <c:ptCount val="1"/>
                <c:pt idx="0">
                  <c:v>2022</c:v>
                </c:pt>
              </c:strCache>
            </c:strRef>
          </c:cat>
          <c:val>
            <c:numRef>
              <c:f>'Pivot Report'!$E$23:$E$24</c:f>
              <c:numCache>
                <c:formatCode>General</c:formatCode>
                <c:ptCount val="1"/>
                <c:pt idx="0">
                  <c:v>738</c:v>
                </c:pt>
              </c:numCache>
            </c:numRef>
          </c:val>
          <c:smooth val="0"/>
          <c:extLst>
            <c:ext xmlns:c16="http://schemas.microsoft.com/office/drawing/2014/chart" uri="{C3380CC4-5D6E-409C-BE32-E72D297353CC}">
              <c16:uniqueId val="{0000000B-683B-49F7-932F-16F89E206ACA}"/>
            </c:ext>
          </c:extLst>
        </c:ser>
        <c:dLbls>
          <c:showLegendKey val="0"/>
          <c:showVal val="0"/>
          <c:showCatName val="0"/>
          <c:showSerName val="0"/>
          <c:showPercent val="0"/>
          <c:showBubbleSize val="0"/>
        </c:dLbls>
        <c:marker val="1"/>
        <c:smooth val="0"/>
        <c:axId val="226801328"/>
        <c:axId val="163089840"/>
      </c:lineChart>
      <c:catAx>
        <c:axId val="2268013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Saoge ui"/>
                    <a:ea typeface="+mn-ea"/>
                    <a:cs typeface="+mn-cs"/>
                  </a:defRPr>
                </a:pPr>
                <a:r>
                  <a:rPr lang="en-IN" sz="900" b="1">
                    <a:latin typeface="Saoge ui"/>
                  </a:rPr>
                  <a:t>Year</a:t>
                </a:r>
              </a:p>
            </c:rich>
          </c:tx>
          <c:layout>
            <c:manualLayout>
              <c:xMode val="edge"/>
              <c:yMode val="edge"/>
              <c:x val="0.48840129739880078"/>
              <c:y val="0.7970636482939632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aoge ui"/>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aoge ui"/>
                <a:ea typeface="+mn-ea"/>
                <a:cs typeface="+mn-cs"/>
              </a:defRPr>
            </a:pPr>
            <a:endParaRPr lang="en-US"/>
          </a:p>
        </c:txPr>
        <c:crossAx val="163089840"/>
        <c:crosses val="autoZero"/>
        <c:auto val="1"/>
        <c:lblAlgn val="ctr"/>
        <c:lblOffset val="100"/>
        <c:noMultiLvlLbl val="0"/>
      </c:catAx>
      <c:valAx>
        <c:axId val="163089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Saoge ui"/>
                    <a:ea typeface="+mn-ea"/>
                    <a:cs typeface="+mn-cs"/>
                  </a:defRPr>
                </a:pPr>
                <a:r>
                  <a:rPr lang="en-IN" sz="900" b="1">
                    <a:latin typeface="Saoge ui"/>
                  </a:rPr>
                  <a:t>Sum</a:t>
                </a:r>
                <a:r>
                  <a:rPr lang="en-IN" sz="900" b="1" baseline="0">
                    <a:latin typeface="Saoge ui"/>
                  </a:rPr>
                  <a:t> Of Bill Amount</a:t>
                </a:r>
                <a:endParaRPr lang="en-IN" sz="900" b="1">
                  <a:latin typeface="Saoge ui"/>
                </a:endParaRPr>
              </a:p>
            </c:rich>
          </c:tx>
          <c:layout>
            <c:manualLayout>
              <c:xMode val="edge"/>
              <c:yMode val="edge"/>
              <c:x val="1.8066847335140017E-2"/>
              <c:y val="0.2317980493915533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Saoge ui"/>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aoge ui"/>
                <a:ea typeface="+mn-ea"/>
                <a:cs typeface="+mn-cs"/>
              </a:defRPr>
            </a:pPr>
            <a:endParaRPr lang="en-US"/>
          </a:p>
        </c:txPr>
        <c:crossAx val="226801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Report!PivotTable22</c:name>
    <c:fmtId val="5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aoge ui"/>
                <a:ea typeface="+mn-ea"/>
                <a:cs typeface="+mn-cs"/>
              </a:defRPr>
            </a:pPr>
            <a:r>
              <a:rPr lang="en-US" sz="1000" b="1">
                <a:latin typeface="Saoge ui"/>
              </a:rPr>
              <a:t>Revenue</a:t>
            </a:r>
            <a:r>
              <a:rPr lang="en-US" sz="1000" b="1" baseline="0">
                <a:latin typeface="Saoge ui"/>
              </a:rPr>
              <a:t> By Month</a:t>
            </a:r>
            <a:endParaRPr lang="en-US" sz="1000" b="1">
              <a:latin typeface="Saoge ui"/>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aoge ui"/>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tx1">
                <a:lumMod val="95000"/>
                <a:lumOff val="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17981465453543E-2"/>
          <c:y val="0.15423869430114337"/>
          <c:w val="0.8342896146024642"/>
          <c:h val="0.61232351344013036"/>
        </c:manualLayout>
      </c:layout>
      <c:lineChart>
        <c:grouping val="standard"/>
        <c:varyColors val="0"/>
        <c:ser>
          <c:idx val="0"/>
          <c:order val="0"/>
          <c:tx>
            <c:strRef>
              <c:f>'Pivot Report'!$E$30</c:f>
              <c:strCache>
                <c:ptCount val="1"/>
                <c:pt idx="0">
                  <c:v>Total</c:v>
                </c:pt>
              </c:strCache>
            </c:strRef>
          </c:tx>
          <c:spPr>
            <a:ln w="28575" cap="rnd">
              <a:solidFill>
                <a:srgbClr val="FF0000"/>
              </a:solidFill>
              <a:round/>
            </a:ln>
            <a:effectLst/>
          </c:spPr>
          <c:marker>
            <c:symbol val="circle"/>
            <c:size val="5"/>
            <c:spPr>
              <a:solidFill>
                <a:schemeClr val="tx1">
                  <a:lumMod val="95000"/>
                  <a:lumOff val="5000"/>
                </a:schemeClr>
              </a:solidFill>
              <a:ln w="9525">
                <a:solidFill>
                  <a:schemeClr val="accent1"/>
                </a:solidFill>
              </a:ln>
              <a:effectLst/>
            </c:spPr>
          </c:marker>
          <c:cat>
            <c:strRef>
              <c:f>'Pivot Report'!$D$31:$D$32</c:f>
              <c:strCache>
                <c:ptCount val="1"/>
                <c:pt idx="0">
                  <c:v>May</c:v>
                </c:pt>
              </c:strCache>
            </c:strRef>
          </c:cat>
          <c:val>
            <c:numRef>
              <c:f>'Pivot Report'!$E$31:$E$32</c:f>
              <c:numCache>
                <c:formatCode>General</c:formatCode>
                <c:ptCount val="1"/>
                <c:pt idx="0">
                  <c:v>738</c:v>
                </c:pt>
              </c:numCache>
            </c:numRef>
          </c:val>
          <c:smooth val="0"/>
          <c:extLst>
            <c:ext xmlns:c16="http://schemas.microsoft.com/office/drawing/2014/chart" uri="{C3380CC4-5D6E-409C-BE32-E72D297353CC}">
              <c16:uniqueId val="{0000000C-BC20-4A04-A6F4-2A1B582294C9}"/>
            </c:ext>
          </c:extLst>
        </c:ser>
        <c:dLbls>
          <c:showLegendKey val="0"/>
          <c:showVal val="0"/>
          <c:showCatName val="0"/>
          <c:showSerName val="0"/>
          <c:showPercent val="0"/>
          <c:showBubbleSize val="0"/>
        </c:dLbls>
        <c:marker val="1"/>
        <c:smooth val="0"/>
        <c:axId val="1051637888"/>
        <c:axId val="163146480"/>
      </c:lineChart>
      <c:catAx>
        <c:axId val="105163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Saoge ui"/>
                <a:ea typeface="+mn-ea"/>
                <a:cs typeface="+mn-cs"/>
              </a:defRPr>
            </a:pPr>
            <a:endParaRPr lang="en-US"/>
          </a:p>
        </c:txPr>
        <c:crossAx val="163146480"/>
        <c:crosses val="autoZero"/>
        <c:auto val="1"/>
        <c:lblAlgn val="ctr"/>
        <c:lblOffset val="100"/>
        <c:noMultiLvlLbl val="0"/>
      </c:catAx>
      <c:valAx>
        <c:axId val="16314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aoge ui"/>
                <a:ea typeface="+mn-ea"/>
                <a:cs typeface="+mn-cs"/>
              </a:defRPr>
            </a:pPr>
            <a:endParaRPr lang="en-US"/>
          </a:p>
        </c:txPr>
        <c:crossAx val="1051637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Report!PivotTable15</c:name>
    <c:fmtId val="57"/>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aoge ui"/>
                <a:ea typeface="+mn-ea"/>
                <a:cs typeface="+mn-cs"/>
              </a:defRPr>
            </a:pPr>
            <a:r>
              <a:rPr lang="en-US" sz="1000" b="1">
                <a:latin typeface="Saoge ui"/>
              </a:rPr>
              <a:t>Revenue</a:t>
            </a:r>
            <a:r>
              <a:rPr lang="en-US" sz="1000" b="1" baseline="0">
                <a:latin typeface="Saoge ui"/>
              </a:rPr>
              <a:t> By Medical Condition</a:t>
            </a:r>
            <a:endParaRPr lang="en-US" sz="1000" b="1">
              <a:latin typeface="Saoge ui"/>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aoge ui"/>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geo ui"/>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Report'!$H$22</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geo u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Report'!$G$23:$G$24</c:f>
              <c:strCache>
                <c:ptCount val="1"/>
                <c:pt idx="0">
                  <c:v>Allergies</c:v>
                </c:pt>
              </c:strCache>
            </c:strRef>
          </c:cat>
          <c:val>
            <c:numRef>
              <c:f>'Pivot Report'!$H$23:$H$24</c:f>
              <c:numCache>
                <c:formatCode>General</c:formatCode>
                <c:ptCount val="1"/>
                <c:pt idx="0">
                  <c:v>738</c:v>
                </c:pt>
              </c:numCache>
            </c:numRef>
          </c:val>
          <c:extLst>
            <c:ext xmlns:c16="http://schemas.microsoft.com/office/drawing/2014/chart" uri="{C3380CC4-5D6E-409C-BE32-E72D297353CC}">
              <c16:uniqueId val="{0000000C-E79A-4E08-90D7-445B0C159EFD}"/>
            </c:ext>
          </c:extLst>
        </c:ser>
        <c:dLbls>
          <c:dLblPos val="outEnd"/>
          <c:showLegendKey val="0"/>
          <c:showVal val="1"/>
          <c:showCatName val="0"/>
          <c:showSerName val="0"/>
          <c:showPercent val="0"/>
          <c:showBubbleSize val="0"/>
        </c:dLbls>
        <c:gapWidth val="300"/>
        <c:axId val="988775744"/>
        <c:axId val="163157520"/>
      </c:barChart>
      <c:catAx>
        <c:axId val="98877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Saoge ui"/>
                <a:ea typeface="+mn-ea"/>
                <a:cs typeface="+mn-cs"/>
              </a:defRPr>
            </a:pPr>
            <a:endParaRPr lang="en-US"/>
          </a:p>
        </c:txPr>
        <c:crossAx val="163157520"/>
        <c:crosses val="autoZero"/>
        <c:auto val="1"/>
        <c:lblAlgn val="ctr"/>
        <c:lblOffset val="100"/>
        <c:noMultiLvlLbl val="0"/>
      </c:catAx>
      <c:valAx>
        <c:axId val="163157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aoge ui"/>
                <a:ea typeface="+mn-ea"/>
                <a:cs typeface="+mn-cs"/>
              </a:defRPr>
            </a:pPr>
            <a:endParaRPr lang="en-US"/>
          </a:p>
        </c:txPr>
        <c:crossAx val="988775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Report!PivotTable20</c:name>
    <c:fmtId val="31"/>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Saoge ui"/>
                <a:ea typeface="+mn-ea"/>
                <a:cs typeface="+mn-cs"/>
              </a:defRPr>
            </a:pPr>
            <a:r>
              <a:rPr lang="en-US" sz="900" b="1">
                <a:latin typeface="Saoge ui"/>
              </a:rPr>
              <a:t>Patient</a:t>
            </a:r>
            <a:r>
              <a:rPr lang="en-US" sz="900" b="1" baseline="0">
                <a:latin typeface="Saoge ui"/>
              </a:rPr>
              <a:t> By Medical COndition</a:t>
            </a:r>
            <a:endParaRPr lang="en-US" sz="900" b="1">
              <a:latin typeface="Saoge ui"/>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Saoge ui"/>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geo ui"/>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Report'!$T$22</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geo u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Report'!$S$23:$S$24</c:f>
              <c:strCache>
                <c:ptCount val="1"/>
                <c:pt idx="0">
                  <c:v>Allergies</c:v>
                </c:pt>
              </c:strCache>
            </c:strRef>
          </c:cat>
          <c:val>
            <c:numRef>
              <c:f>'Pivot Report'!$T$23:$T$24</c:f>
              <c:numCache>
                <c:formatCode>General</c:formatCode>
                <c:ptCount val="1"/>
                <c:pt idx="0">
                  <c:v>1</c:v>
                </c:pt>
              </c:numCache>
            </c:numRef>
          </c:val>
          <c:extLst>
            <c:ext xmlns:c16="http://schemas.microsoft.com/office/drawing/2014/chart" uri="{C3380CC4-5D6E-409C-BE32-E72D297353CC}">
              <c16:uniqueId val="{0000000C-C22C-477D-8074-CE791F31A13A}"/>
            </c:ext>
          </c:extLst>
        </c:ser>
        <c:dLbls>
          <c:showLegendKey val="0"/>
          <c:showVal val="0"/>
          <c:showCatName val="0"/>
          <c:showSerName val="0"/>
          <c:showPercent val="0"/>
          <c:showBubbleSize val="0"/>
        </c:dLbls>
        <c:gapWidth val="250"/>
        <c:axId val="82481856"/>
        <c:axId val="163183440"/>
      </c:barChart>
      <c:catAx>
        <c:axId val="8248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Saoge ui"/>
                <a:ea typeface="+mn-ea"/>
                <a:cs typeface="+mn-cs"/>
              </a:defRPr>
            </a:pPr>
            <a:endParaRPr lang="en-US"/>
          </a:p>
        </c:txPr>
        <c:crossAx val="163183440"/>
        <c:crosses val="autoZero"/>
        <c:auto val="1"/>
        <c:lblAlgn val="ctr"/>
        <c:lblOffset val="100"/>
        <c:noMultiLvlLbl val="0"/>
      </c:catAx>
      <c:valAx>
        <c:axId val="163183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aoge ui"/>
                <a:ea typeface="+mn-ea"/>
                <a:cs typeface="+mn-cs"/>
              </a:defRPr>
            </a:pPr>
            <a:endParaRPr lang="en-US"/>
          </a:p>
        </c:txPr>
        <c:crossAx val="82481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Report!PivotTable10</c:name>
    <c:fmtId val="33"/>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Sageo ui"/>
                <a:ea typeface="+mn-ea"/>
                <a:cs typeface="+mn-cs"/>
              </a:defRPr>
            </a:pPr>
            <a:r>
              <a:rPr lang="en-US" sz="900" b="1">
                <a:latin typeface="Sageo ui"/>
              </a:rPr>
              <a:t>Revenue</a:t>
            </a:r>
            <a:r>
              <a:rPr lang="en-US" sz="900" b="1" baseline="0">
                <a:latin typeface="Sageo ui"/>
              </a:rPr>
              <a:t> By Admit Year</a:t>
            </a:r>
            <a:endParaRPr lang="en-US" sz="900" b="1">
              <a:latin typeface="Sageo ui"/>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Sageo ui"/>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988706287232773E-2"/>
          <c:y val="0.19914985116656334"/>
          <c:w val="0.84768625913462059"/>
          <c:h val="0.62595517397060063"/>
        </c:manualLayout>
      </c:layout>
      <c:barChart>
        <c:barDir val="col"/>
        <c:grouping val="clustered"/>
        <c:varyColors val="0"/>
        <c:ser>
          <c:idx val="0"/>
          <c:order val="0"/>
          <c:tx>
            <c:strRef>
              <c:f>'Pivot Report'!$E$22</c:f>
              <c:strCache>
                <c:ptCount val="1"/>
                <c:pt idx="0">
                  <c:v>Total</c:v>
                </c:pt>
              </c:strCache>
            </c:strRef>
          </c:tx>
          <c:spPr>
            <a:solidFill>
              <a:srgbClr val="FF0000"/>
            </a:solidFill>
            <a:ln>
              <a:noFill/>
            </a:ln>
            <a:effectLst/>
          </c:spPr>
          <c:invertIfNegative val="0"/>
          <c:cat>
            <c:strRef>
              <c:f>'Pivot Report'!$D$23:$D$24</c:f>
              <c:strCache>
                <c:ptCount val="1"/>
                <c:pt idx="0">
                  <c:v>2022</c:v>
                </c:pt>
              </c:strCache>
            </c:strRef>
          </c:cat>
          <c:val>
            <c:numRef>
              <c:f>'Pivot Report'!$E$23:$E$24</c:f>
              <c:numCache>
                <c:formatCode>General</c:formatCode>
                <c:ptCount val="1"/>
                <c:pt idx="0">
                  <c:v>738</c:v>
                </c:pt>
              </c:numCache>
            </c:numRef>
          </c:val>
          <c:extLst>
            <c:ext xmlns:c16="http://schemas.microsoft.com/office/drawing/2014/chart" uri="{C3380CC4-5D6E-409C-BE32-E72D297353CC}">
              <c16:uniqueId val="{0000000C-3579-4124-9B8B-00691D6AD1B8}"/>
            </c:ext>
          </c:extLst>
        </c:ser>
        <c:dLbls>
          <c:showLegendKey val="0"/>
          <c:showVal val="0"/>
          <c:showCatName val="0"/>
          <c:showSerName val="0"/>
          <c:showPercent val="0"/>
          <c:showBubbleSize val="0"/>
        </c:dLbls>
        <c:gapWidth val="250"/>
        <c:overlap val="-27"/>
        <c:axId val="427106640"/>
        <c:axId val="428192176"/>
      </c:barChart>
      <c:catAx>
        <c:axId val="42710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92176"/>
        <c:crosses val="autoZero"/>
        <c:auto val="1"/>
        <c:lblAlgn val="ctr"/>
        <c:lblOffset val="100"/>
        <c:noMultiLvlLbl val="0"/>
      </c:catAx>
      <c:valAx>
        <c:axId val="42819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106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Report!PivotTable9</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0.59259259259259256"/>
          <c:w val="0.91388888888888886"/>
          <c:h val="0.18518518518518517"/>
        </c:manualLayout>
      </c:layout>
      <c:areaChart>
        <c:grouping val="standard"/>
        <c:varyColors val="0"/>
        <c:ser>
          <c:idx val="0"/>
          <c:order val="0"/>
          <c:tx>
            <c:strRef>
              <c:f>'Pivot Report'!$Q$3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Report'!$P$4:$P$5</c:f>
              <c:strCache>
                <c:ptCount val="1"/>
                <c:pt idx="0">
                  <c:v>2022</c:v>
                </c:pt>
              </c:strCache>
            </c:strRef>
          </c:cat>
          <c:val>
            <c:numRef>
              <c:f>'Pivot Report'!$Q$4:$Q$5</c:f>
              <c:numCache>
                <c:formatCode>General</c:formatCode>
                <c:ptCount val="1"/>
                <c:pt idx="0">
                  <c:v>4</c:v>
                </c:pt>
              </c:numCache>
            </c:numRef>
          </c:val>
          <c:extLst>
            <c:ext xmlns:c16="http://schemas.microsoft.com/office/drawing/2014/chart" uri="{C3380CC4-5D6E-409C-BE32-E72D297353CC}">
              <c16:uniqueId val="{0000000B-DA88-49A8-99AA-29F645D491DE}"/>
            </c:ext>
          </c:extLst>
        </c:ser>
        <c:dLbls>
          <c:showLegendKey val="0"/>
          <c:showVal val="1"/>
          <c:showCatName val="0"/>
          <c:showSerName val="0"/>
          <c:showPercent val="0"/>
          <c:showBubbleSize val="0"/>
        </c:dLbls>
        <c:axId val="1597546112"/>
        <c:axId val="844732880"/>
      </c:areaChart>
      <c:catAx>
        <c:axId val="1597546112"/>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44732880"/>
        <c:crosses val="autoZero"/>
        <c:auto val="1"/>
        <c:lblAlgn val="ctr"/>
        <c:lblOffset val="100"/>
        <c:noMultiLvlLbl val="0"/>
      </c:catAx>
      <c:valAx>
        <c:axId val="8447328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75461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Report!PivotTable7</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78879926594537E-2"/>
          <c:y val="9.4432297745145832E-2"/>
          <c:w val="0.87922705314009664"/>
          <c:h val="0.6945217264508603"/>
        </c:manualLayout>
      </c:layout>
      <c:areaChart>
        <c:grouping val="standard"/>
        <c:varyColors val="0"/>
        <c:ser>
          <c:idx val="0"/>
          <c:order val="0"/>
          <c:tx>
            <c:strRef>
              <c:f>'Pivot Report'!$K$3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Report'!$J$4:$J$5</c:f>
              <c:strCache>
                <c:ptCount val="1"/>
                <c:pt idx="0">
                  <c:v>2022</c:v>
                </c:pt>
              </c:strCache>
            </c:strRef>
          </c:cat>
          <c:val>
            <c:numRef>
              <c:f>'Pivot Report'!$K$4:$K$5</c:f>
              <c:numCache>
                <c:formatCode>General</c:formatCode>
                <c:ptCount val="1"/>
                <c:pt idx="0">
                  <c:v>738</c:v>
                </c:pt>
              </c:numCache>
            </c:numRef>
          </c:val>
          <c:extLst>
            <c:ext xmlns:c16="http://schemas.microsoft.com/office/drawing/2014/chart" uri="{C3380CC4-5D6E-409C-BE32-E72D297353CC}">
              <c16:uniqueId val="{0000000B-985E-4C6D-A816-13DF99055ED6}"/>
            </c:ext>
          </c:extLst>
        </c:ser>
        <c:dLbls>
          <c:showLegendKey val="0"/>
          <c:showVal val="1"/>
          <c:showCatName val="0"/>
          <c:showSerName val="0"/>
          <c:showPercent val="0"/>
          <c:showBubbleSize val="0"/>
        </c:dLbls>
        <c:axId val="189853023"/>
        <c:axId val="1679325999"/>
      </c:areaChart>
      <c:catAx>
        <c:axId val="18985302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a:t>Years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79325999"/>
        <c:crosses val="autoZero"/>
        <c:auto val="1"/>
        <c:lblAlgn val="ctr"/>
        <c:lblOffset val="100"/>
        <c:noMultiLvlLbl val="0"/>
      </c:catAx>
      <c:valAx>
        <c:axId val="167932599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a:t>Bill Amount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853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Report!PivotTable8</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44444444444443"/>
          <c:y val="0.40151435616002545"/>
          <c:w val="0.8305555555555556"/>
          <c:h val="0.58796296296296291"/>
        </c:manualLayout>
      </c:layout>
      <c:areaChart>
        <c:grouping val="standard"/>
        <c:varyColors val="0"/>
        <c:ser>
          <c:idx val="0"/>
          <c:order val="0"/>
          <c:tx>
            <c:strRef>
              <c:f>'Pivot Report'!$N$3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Report'!$M$4:$M$5</c:f>
              <c:strCache>
                <c:ptCount val="1"/>
                <c:pt idx="0">
                  <c:v>2022</c:v>
                </c:pt>
              </c:strCache>
            </c:strRef>
          </c:cat>
          <c:val>
            <c:numRef>
              <c:f>'Pivot Report'!$N$4:$N$5</c:f>
              <c:numCache>
                <c:formatCode>General</c:formatCode>
                <c:ptCount val="1"/>
                <c:pt idx="0">
                  <c:v>738</c:v>
                </c:pt>
              </c:numCache>
            </c:numRef>
          </c:val>
          <c:extLst>
            <c:ext xmlns:c16="http://schemas.microsoft.com/office/drawing/2014/chart" uri="{C3380CC4-5D6E-409C-BE32-E72D297353CC}">
              <c16:uniqueId val="{0000000B-A459-40B7-BA4B-4E484C8F4640}"/>
            </c:ext>
          </c:extLst>
        </c:ser>
        <c:dLbls>
          <c:showLegendKey val="0"/>
          <c:showVal val="1"/>
          <c:showCatName val="0"/>
          <c:showSerName val="0"/>
          <c:showPercent val="0"/>
          <c:showBubbleSize val="0"/>
        </c:dLbls>
        <c:axId val="977900752"/>
        <c:axId val="844686320"/>
      </c:areaChart>
      <c:catAx>
        <c:axId val="9779007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44686320"/>
        <c:crosses val="autoZero"/>
        <c:auto val="1"/>
        <c:lblAlgn val="ctr"/>
        <c:lblOffset val="100"/>
        <c:noMultiLvlLbl val="0"/>
      </c:catAx>
      <c:valAx>
        <c:axId val="8446863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sz="1400"/>
                  <a:t>Total</a:t>
                </a:r>
                <a:r>
                  <a:rPr lang="en-IN" sz="1400" baseline="0"/>
                  <a:t> Revenue</a:t>
                </a:r>
                <a:endParaRPr lang="en-IN" sz="1400"/>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7900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Report!PivotTable14</c:name>
    <c:fmtId val="7"/>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No Of Patient Per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4918175068754"/>
          <c:y val="0.2359882005899705"/>
          <c:w val="0.85391766268260294"/>
          <c:h val="0.43057742782152231"/>
        </c:manualLayout>
      </c:layout>
      <c:areaChart>
        <c:grouping val="standard"/>
        <c:varyColors val="0"/>
        <c:ser>
          <c:idx val="0"/>
          <c:order val="0"/>
          <c:tx>
            <c:strRef>
              <c:f>'Pivot Report'!$E$3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Report'!$D$4:$D$5</c:f>
              <c:strCache>
                <c:ptCount val="1"/>
                <c:pt idx="0">
                  <c:v>2022</c:v>
                </c:pt>
              </c:strCache>
            </c:strRef>
          </c:cat>
          <c:val>
            <c:numRef>
              <c:f>'Pivot Report'!$E$4:$E$5</c:f>
              <c:numCache>
                <c:formatCode>General</c:formatCode>
                <c:ptCount val="1"/>
                <c:pt idx="0">
                  <c:v>1</c:v>
                </c:pt>
              </c:numCache>
            </c:numRef>
          </c:val>
          <c:extLst>
            <c:ext xmlns:c16="http://schemas.microsoft.com/office/drawing/2014/chart" uri="{C3380CC4-5D6E-409C-BE32-E72D297353CC}">
              <c16:uniqueId val="{0000000B-FD78-4787-A0CC-961E41AC1BFC}"/>
            </c:ext>
          </c:extLst>
        </c:ser>
        <c:dLbls>
          <c:showLegendKey val="0"/>
          <c:showVal val="1"/>
          <c:showCatName val="0"/>
          <c:showSerName val="0"/>
          <c:showPercent val="0"/>
          <c:showBubbleSize val="0"/>
        </c:dLbls>
        <c:axId val="1164732863"/>
        <c:axId val="1679313999"/>
      </c:areaChart>
      <c:catAx>
        <c:axId val="116473286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a:t>Months Of 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79313999"/>
        <c:crosses val="autoZero"/>
        <c:auto val="1"/>
        <c:lblAlgn val="ctr"/>
        <c:lblOffset val="100"/>
        <c:noMultiLvlLbl val="0"/>
      </c:catAx>
      <c:valAx>
        <c:axId val="167931399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a:t>No Of Patients</a:t>
                </a:r>
              </a:p>
              <a:p>
                <a:pPr>
                  <a:defRPr/>
                </a:pP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473286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3" Type="http://schemas.openxmlformats.org/officeDocument/2006/relationships/chart" Target="../charts/chart12.xml"/><Relationship Id="rId18" Type="http://schemas.openxmlformats.org/officeDocument/2006/relationships/image" Target="../media/image4.emf"/><Relationship Id="rId26" Type="http://schemas.openxmlformats.org/officeDocument/2006/relationships/image" Target="../media/image7.png"/><Relationship Id="rId3" Type="http://schemas.openxmlformats.org/officeDocument/2006/relationships/chart" Target="../charts/chart2.xml"/><Relationship Id="rId21" Type="http://schemas.openxmlformats.org/officeDocument/2006/relationships/chart" Target="../charts/chart18.xml"/><Relationship Id="rId34" Type="http://schemas.openxmlformats.org/officeDocument/2006/relationships/image" Target="../media/image15.png"/><Relationship Id="rId7" Type="http://schemas.openxmlformats.org/officeDocument/2006/relationships/chart" Target="../charts/chart6.xml"/><Relationship Id="rId12" Type="http://schemas.openxmlformats.org/officeDocument/2006/relationships/chart" Target="../charts/chart11.xml"/><Relationship Id="rId17" Type="http://schemas.openxmlformats.org/officeDocument/2006/relationships/chart" Target="../charts/chart16.xml"/><Relationship Id="rId25" Type="http://schemas.openxmlformats.org/officeDocument/2006/relationships/image" Target="../media/image6.png"/><Relationship Id="rId33" Type="http://schemas.openxmlformats.org/officeDocument/2006/relationships/image" Target="../media/image14.png"/><Relationship Id="rId2" Type="http://schemas.openxmlformats.org/officeDocument/2006/relationships/chart" Target="../charts/chart1.xml"/><Relationship Id="rId16" Type="http://schemas.openxmlformats.org/officeDocument/2006/relationships/chart" Target="../charts/chart15.xml"/><Relationship Id="rId20" Type="http://schemas.openxmlformats.org/officeDocument/2006/relationships/chart" Target="../charts/chart17.xml"/><Relationship Id="rId29"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10.xml"/><Relationship Id="rId24" Type="http://schemas.openxmlformats.org/officeDocument/2006/relationships/chart" Target="../charts/chart21.xml"/><Relationship Id="rId32" Type="http://schemas.openxmlformats.org/officeDocument/2006/relationships/image" Target="../media/image13.png"/><Relationship Id="rId5" Type="http://schemas.openxmlformats.org/officeDocument/2006/relationships/chart" Target="../charts/chart4.xml"/><Relationship Id="rId15" Type="http://schemas.openxmlformats.org/officeDocument/2006/relationships/chart" Target="../charts/chart14.xml"/><Relationship Id="rId23" Type="http://schemas.openxmlformats.org/officeDocument/2006/relationships/chart" Target="../charts/chart20.xml"/><Relationship Id="rId28" Type="http://schemas.openxmlformats.org/officeDocument/2006/relationships/image" Target="../media/image9.png"/><Relationship Id="rId10" Type="http://schemas.openxmlformats.org/officeDocument/2006/relationships/chart" Target="../charts/chart9.xml"/><Relationship Id="rId19" Type="http://schemas.openxmlformats.org/officeDocument/2006/relationships/image" Target="../media/image5.emf"/><Relationship Id="rId31" Type="http://schemas.openxmlformats.org/officeDocument/2006/relationships/image" Target="../media/image12.png"/><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 Id="rId22" Type="http://schemas.openxmlformats.org/officeDocument/2006/relationships/chart" Target="../charts/chart19.xml"/><Relationship Id="rId27" Type="http://schemas.openxmlformats.org/officeDocument/2006/relationships/image" Target="../media/image8.png"/><Relationship Id="rId30" Type="http://schemas.openxmlformats.org/officeDocument/2006/relationships/image" Target="../media/image11.png"/><Relationship Id="rId8"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22.xml"/><Relationship Id="rId4" Type="http://schemas.openxmlformats.org/officeDocument/2006/relationships/image" Target="../media/image17.svg"/></Relationships>
</file>

<file path=xl/drawings/_rels/drawing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24.xml"/><Relationship Id="rId4" Type="http://schemas.openxmlformats.org/officeDocument/2006/relationships/image" Target="../media/image17.svg"/></Relationships>
</file>

<file path=xl/drawings/_rels/drawing8.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oneCellAnchor>
    <xdr:from>
      <xdr:col>6</xdr:col>
      <xdr:colOff>853440</xdr:colOff>
      <xdr:row>65</xdr:row>
      <xdr:rowOff>190500</xdr:rowOff>
    </xdr:from>
    <xdr:ext cx="184731" cy="264560"/>
    <xdr:sp macro="" textlink="">
      <xdr:nvSpPr>
        <xdr:cNvPr id="6" name="TextBox 5">
          <a:extLst>
            <a:ext uri="{FF2B5EF4-FFF2-40B4-BE49-F238E27FC236}">
              <a16:creationId xmlns:a16="http://schemas.microsoft.com/office/drawing/2014/main" id="{4A7062B2-7170-2174-5190-6AB9F98CE02E}"/>
            </a:ext>
          </a:extLst>
        </xdr:cNvPr>
        <xdr:cNvSpPr txBox="1"/>
      </xdr:nvSpPr>
      <xdr:spPr>
        <a:xfrm>
          <a:off x="9395460" y="12260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30480</xdr:rowOff>
    </xdr:from>
    <xdr:to>
      <xdr:col>21</xdr:col>
      <xdr:colOff>0</xdr:colOff>
      <xdr:row>4</xdr:row>
      <xdr:rowOff>7620</xdr:rowOff>
    </xdr:to>
    <xdr:sp macro="" textlink="">
      <xdr:nvSpPr>
        <xdr:cNvPr id="2" name="Rectangle: Rounded Corners 1">
          <a:extLst>
            <a:ext uri="{FF2B5EF4-FFF2-40B4-BE49-F238E27FC236}">
              <a16:creationId xmlns:a16="http://schemas.microsoft.com/office/drawing/2014/main" id="{EB28E927-0120-8600-2CF8-C296C0FC7D0E}"/>
            </a:ext>
          </a:extLst>
        </xdr:cNvPr>
        <xdr:cNvSpPr/>
      </xdr:nvSpPr>
      <xdr:spPr>
        <a:xfrm>
          <a:off x="0" y="30480"/>
          <a:ext cx="14218920" cy="70866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0</xdr:col>
      <xdr:colOff>0</xdr:colOff>
      <xdr:row>4</xdr:row>
      <xdr:rowOff>83820</xdr:rowOff>
    </xdr:from>
    <xdr:to>
      <xdr:col>0</xdr:col>
      <xdr:colOff>1173480</xdr:colOff>
      <xdr:row>44</xdr:row>
      <xdr:rowOff>15240</xdr:rowOff>
    </xdr:to>
    <xdr:sp macro="" textlink="">
      <xdr:nvSpPr>
        <xdr:cNvPr id="3" name="Rectangle: Rounded Corners 2">
          <a:extLst>
            <a:ext uri="{FF2B5EF4-FFF2-40B4-BE49-F238E27FC236}">
              <a16:creationId xmlns:a16="http://schemas.microsoft.com/office/drawing/2014/main" id="{5FD29CCE-88C2-46D0-BCAA-0DA6DA66F0E4}"/>
            </a:ext>
          </a:extLst>
        </xdr:cNvPr>
        <xdr:cNvSpPr/>
      </xdr:nvSpPr>
      <xdr:spPr>
        <a:xfrm>
          <a:off x="0" y="815340"/>
          <a:ext cx="1173480" cy="723900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1211580</xdr:colOff>
      <xdr:row>4</xdr:row>
      <xdr:rowOff>68580</xdr:rowOff>
    </xdr:from>
    <xdr:to>
      <xdr:col>2</xdr:col>
      <xdr:colOff>1027320</xdr:colOff>
      <xdr:row>11</xdr:row>
      <xdr:rowOff>138420</xdr:rowOff>
    </xdr:to>
    <xdr:sp macro="" textlink="">
      <xdr:nvSpPr>
        <xdr:cNvPr id="4" name="Rectangle: Rounded Corners 3">
          <a:extLst>
            <a:ext uri="{FF2B5EF4-FFF2-40B4-BE49-F238E27FC236}">
              <a16:creationId xmlns:a16="http://schemas.microsoft.com/office/drawing/2014/main" id="{C7D37A84-3D19-411E-96AB-E759430B61CB}"/>
            </a:ext>
          </a:extLst>
        </xdr:cNvPr>
        <xdr:cNvSpPr/>
      </xdr:nvSpPr>
      <xdr:spPr>
        <a:xfrm>
          <a:off x="1211580" y="800100"/>
          <a:ext cx="1591200" cy="135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2</xdr:col>
      <xdr:colOff>1059180</xdr:colOff>
      <xdr:row>4</xdr:row>
      <xdr:rowOff>60960</xdr:rowOff>
    </xdr:from>
    <xdr:to>
      <xdr:col>4</xdr:col>
      <xdr:colOff>570120</xdr:colOff>
      <xdr:row>11</xdr:row>
      <xdr:rowOff>130800</xdr:rowOff>
    </xdr:to>
    <xdr:sp macro="" textlink="">
      <xdr:nvSpPr>
        <xdr:cNvPr id="5" name="Rectangle: Rounded Corners 4">
          <a:extLst>
            <a:ext uri="{FF2B5EF4-FFF2-40B4-BE49-F238E27FC236}">
              <a16:creationId xmlns:a16="http://schemas.microsoft.com/office/drawing/2014/main" id="{C000FBEF-39C6-4DD9-B869-20D0A582CD02}"/>
            </a:ext>
          </a:extLst>
        </xdr:cNvPr>
        <xdr:cNvSpPr/>
      </xdr:nvSpPr>
      <xdr:spPr>
        <a:xfrm>
          <a:off x="2834640" y="792480"/>
          <a:ext cx="1591200" cy="135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5</xdr:col>
      <xdr:colOff>0</xdr:colOff>
      <xdr:row>4</xdr:row>
      <xdr:rowOff>68580</xdr:rowOff>
    </xdr:from>
    <xdr:to>
      <xdr:col>7</xdr:col>
      <xdr:colOff>372000</xdr:colOff>
      <xdr:row>11</xdr:row>
      <xdr:rowOff>138420</xdr:rowOff>
    </xdr:to>
    <xdr:sp macro="" textlink="">
      <xdr:nvSpPr>
        <xdr:cNvPr id="6" name="Rectangle: Rounded Corners 5">
          <a:extLst>
            <a:ext uri="{FF2B5EF4-FFF2-40B4-BE49-F238E27FC236}">
              <a16:creationId xmlns:a16="http://schemas.microsoft.com/office/drawing/2014/main" id="{43891DF1-737C-4B86-8665-198BB73CDA6D}"/>
            </a:ext>
          </a:extLst>
        </xdr:cNvPr>
        <xdr:cNvSpPr/>
      </xdr:nvSpPr>
      <xdr:spPr>
        <a:xfrm>
          <a:off x="4465320" y="800100"/>
          <a:ext cx="1591200" cy="135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7</xdr:col>
      <xdr:colOff>419100</xdr:colOff>
      <xdr:row>4</xdr:row>
      <xdr:rowOff>45720</xdr:rowOff>
    </xdr:from>
    <xdr:to>
      <xdr:col>10</xdr:col>
      <xdr:colOff>181500</xdr:colOff>
      <xdr:row>11</xdr:row>
      <xdr:rowOff>115560</xdr:rowOff>
    </xdr:to>
    <xdr:sp macro="" textlink="">
      <xdr:nvSpPr>
        <xdr:cNvPr id="7" name="Rectangle: Rounded Corners 6">
          <a:extLst>
            <a:ext uri="{FF2B5EF4-FFF2-40B4-BE49-F238E27FC236}">
              <a16:creationId xmlns:a16="http://schemas.microsoft.com/office/drawing/2014/main" id="{BD47EAD4-9C6C-4B72-92E3-AD0A7681DDCA}"/>
            </a:ext>
          </a:extLst>
        </xdr:cNvPr>
        <xdr:cNvSpPr/>
      </xdr:nvSpPr>
      <xdr:spPr>
        <a:xfrm>
          <a:off x="6103620" y="777240"/>
          <a:ext cx="1591200" cy="135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10</xdr:col>
      <xdr:colOff>228600</xdr:colOff>
      <xdr:row>4</xdr:row>
      <xdr:rowOff>45720</xdr:rowOff>
    </xdr:from>
    <xdr:to>
      <xdr:col>12</xdr:col>
      <xdr:colOff>600600</xdr:colOff>
      <xdr:row>11</xdr:row>
      <xdr:rowOff>115560</xdr:rowOff>
    </xdr:to>
    <xdr:sp macro="" textlink="">
      <xdr:nvSpPr>
        <xdr:cNvPr id="8" name="Rectangle: Rounded Corners 7">
          <a:extLst>
            <a:ext uri="{FF2B5EF4-FFF2-40B4-BE49-F238E27FC236}">
              <a16:creationId xmlns:a16="http://schemas.microsoft.com/office/drawing/2014/main" id="{E7D70AD7-B4AA-47D0-BD21-62F816F0B115}"/>
            </a:ext>
          </a:extLst>
        </xdr:cNvPr>
        <xdr:cNvSpPr/>
      </xdr:nvSpPr>
      <xdr:spPr>
        <a:xfrm>
          <a:off x="7741920" y="777240"/>
          <a:ext cx="1591200" cy="135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13</xdr:col>
      <xdr:colOff>45720</xdr:colOff>
      <xdr:row>4</xdr:row>
      <xdr:rowOff>60960</xdr:rowOff>
    </xdr:from>
    <xdr:to>
      <xdr:col>15</xdr:col>
      <xdr:colOff>417720</xdr:colOff>
      <xdr:row>11</xdr:row>
      <xdr:rowOff>130800</xdr:rowOff>
    </xdr:to>
    <xdr:sp macro="" textlink="">
      <xdr:nvSpPr>
        <xdr:cNvPr id="11" name="Rectangle: Rounded Corners 10">
          <a:extLst>
            <a:ext uri="{FF2B5EF4-FFF2-40B4-BE49-F238E27FC236}">
              <a16:creationId xmlns:a16="http://schemas.microsoft.com/office/drawing/2014/main" id="{7D5FCE92-A589-4218-B3F8-D79721767DE5}"/>
            </a:ext>
          </a:extLst>
        </xdr:cNvPr>
        <xdr:cNvSpPr/>
      </xdr:nvSpPr>
      <xdr:spPr>
        <a:xfrm>
          <a:off x="9368060" y="806747"/>
          <a:ext cx="1587958" cy="137496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15</xdr:col>
      <xdr:colOff>464820</xdr:colOff>
      <xdr:row>4</xdr:row>
      <xdr:rowOff>60960</xdr:rowOff>
    </xdr:from>
    <xdr:to>
      <xdr:col>18</xdr:col>
      <xdr:colOff>227220</xdr:colOff>
      <xdr:row>11</xdr:row>
      <xdr:rowOff>130800</xdr:rowOff>
    </xdr:to>
    <xdr:sp macro="" textlink="">
      <xdr:nvSpPr>
        <xdr:cNvPr id="12" name="Rectangle: Rounded Corners 11">
          <a:extLst>
            <a:ext uri="{FF2B5EF4-FFF2-40B4-BE49-F238E27FC236}">
              <a16:creationId xmlns:a16="http://schemas.microsoft.com/office/drawing/2014/main" id="{3FC2029C-F385-411C-A57B-D103A154C380}"/>
            </a:ext>
          </a:extLst>
        </xdr:cNvPr>
        <xdr:cNvSpPr/>
      </xdr:nvSpPr>
      <xdr:spPr>
        <a:xfrm>
          <a:off x="11026140" y="792480"/>
          <a:ext cx="1591200" cy="135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solidFill>
              <a:schemeClr val="bg2"/>
            </a:solidFill>
          </a:endParaRPr>
        </a:p>
      </xdr:txBody>
    </xdr:sp>
    <xdr:clientData/>
  </xdr:twoCellAnchor>
  <xdr:twoCellAnchor editAs="absolute">
    <xdr:from>
      <xdr:col>0</xdr:col>
      <xdr:colOff>1242060</xdr:colOff>
      <xdr:row>12</xdr:row>
      <xdr:rowOff>15240</xdr:rowOff>
    </xdr:from>
    <xdr:to>
      <xdr:col>4</xdr:col>
      <xdr:colOff>502920</xdr:colOff>
      <xdr:row>27</xdr:row>
      <xdr:rowOff>152400</xdr:rowOff>
    </xdr:to>
    <xdr:sp macro="" textlink="">
      <xdr:nvSpPr>
        <xdr:cNvPr id="15" name="Rectangle: Rounded Corners 14">
          <a:extLst>
            <a:ext uri="{FF2B5EF4-FFF2-40B4-BE49-F238E27FC236}">
              <a16:creationId xmlns:a16="http://schemas.microsoft.com/office/drawing/2014/main" id="{6172CFDF-D393-4F6B-93A0-00EDFD8035AD}"/>
            </a:ext>
          </a:extLst>
        </xdr:cNvPr>
        <xdr:cNvSpPr/>
      </xdr:nvSpPr>
      <xdr:spPr>
        <a:xfrm>
          <a:off x="1242060" y="2209800"/>
          <a:ext cx="3116580" cy="28803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 </a:t>
          </a:r>
        </a:p>
      </xdr:txBody>
    </xdr:sp>
    <xdr:clientData/>
  </xdr:twoCellAnchor>
  <xdr:twoCellAnchor editAs="absolute">
    <xdr:from>
      <xdr:col>4</xdr:col>
      <xdr:colOff>557220</xdr:colOff>
      <xdr:row>12</xdr:row>
      <xdr:rowOff>0</xdr:rowOff>
    </xdr:from>
    <xdr:to>
      <xdr:col>10</xdr:col>
      <xdr:colOff>38100</xdr:colOff>
      <xdr:row>27</xdr:row>
      <xdr:rowOff>136800</xdr:rowOff>
    </xdr:to>
    <xdr:sp macro="" textlink="">
      <xdr:nvSpPr>
        <xdr:cNvPr id="16" name="Rectangle: Rounded Corners 15">
          <a:extLst>
            <a:ext uri="{FF2B5EF4-FFF2-40B4-BE49-F238E27FC236}">
              <a16:creationId xmlns:a16="http://schemas.microsoft.com/office/drawing/2014/main" id="{0C966812-39AA-4A2D-8AEB-B32D11D9059A}"/>
            </a:ext>
          </a:extLst>
        </xdr:cNvPr>
        <xdr:cNvSpPr/>
      </xdr:nvSpPr>
      <xdr:spPr>
        <a:xfrm>
          <a:off x="4412940" y="2194560"/>
          <a:ext cx="3138480" cy="288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8</xdr:col>
      <xdr:colOff>198120</xdr:colOff>
      <xdr:row>0</xdr:row>
      <xdr:rowOff>57150</xdr:rowOff>
    </xdr:from>
    <xdr:to>
      <xdr:col>15</xdr:col>
      <xdr:colOff>182880</xdr:colOff>
      <xdr:row>1</xdr:row>
      <xdr:rowOff>152400</xdr:rowOff>
    </xdr:to>
    <xdr:sp macro="" textlink="">
      <xdr:nvSpPr>
        <xdr:cNvPr id="26" name="TextBox 25">
          <a:extLst>
            <a:ext uri="{FF2B5EF4-FFF2-40B4-BE49-F238E27FC236}">
              <a16:creationId xmlns:a16="http://schemas.microsoft.com/office/drawing/2014/main" id="{A9C201A0-6D56-4911-C40D-6B04A8B6BF1D}"/>
            </a:ext>
          </a:extLst>
        </xdr:cNvPr>
        <xdr:cNvSpPr txBox="1"/>
      </xdr:nvSpPr>
      <xdr:spPr>
        <a:xfrm>
          <a:off x="5173980" y="57150"/>
          <a:ext cx="425196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a:solidFill>
                <a:schemeClr val="bg1"/>
              </a:solidFill>
              <a:latin typeface="Segoeui"/>
              <a:cs typeface="Times New Roman" panose="02020603050405020304" pitchFamily="18" charset="0"/>
            </a:rPr>
            <a:t>Health</a:t>
          </a:r>
          <a:r>
            <a:rPr lang="en-IN" sz="1800" b="1">
              <a:latin typeface="Segoeui"/>
              <a:cs typeface="Times New Roman" panose="02020603050405020304" pitchFamily="18" charset="0"/>
            </a:rPr>
            <a:t> </a:t>
          </a:r>
          <a:r>
            <a:rPr lang="en-IN" sz="1800" b="1">
              <a:solidFill>
                <a:schemeClr val="bg1"/>
              </a:solidFill>
              <a:latin typeface="Segoeui"/>
              <a:cs typeface="Times New Roman" panose="02020603050405020304" pitchFamily="18" charset="0"/>
            </a:rPr>
            <a:t>Care Analysis</a:t>
          </a:r>
          <a:r>
            <a:rPr lang="en-IN" sz="1800" b="1" baseline="0">
              <a:solidFill>
                <a:schemeClr val="bg1"/>
              </a:solidFill>
              <a:latin typeface="Segoeui"/>
              <a:cs typeface="Times New Roman" panose="02020603050405020304" pitchFamily="18" charset="0"/>
            </a:rPr>
            <a:t> Dashboard</a:t>
          </a:r>
          <a:endParaRPr lang="en-IN" sz="1800" b="1">
            <a:solidFill>
              <a:schemeClr val="bg1"/>
            </a:solidFill>
            <a:latin typeface="Segoeui"/>
            <a:cs typeface="Times New Roman" panose="02020603050405020304" pitchFamily="18" charset="0"/>
          </a:endParaRPr>
        </a:p>
      </xdr:txBody>
    </xdr:sp>
    <xdr:clientData/>
  </xdr:twoCellAnchor>
  <xdr:twoCellAnchor>
    <xdr:from>
      <xdr:col>7</xdr:col>
      <xdr:colOff>586740</xdr:colOff>
      <xdr:row>2</xdr:row>
      <xdr:rowOff>15240</xdr:rowOff>
    </xdr:from>
    <xdr:to>
      <xdr:col>16</xdr:col>
      <xdr:colOff>129540</xdr:colOff>
      <xdr:row>3</xdr:row>
      <xdr:rowOff>99060</xdr:rowOff>
    </xdr:to>
    <xdr:sp macro="" textlink="">
      <xdr:nvSpPr>
        <xdr:cNvPr id="30" name="TextBox 29">
          <a:extLst>
            <a:ext uri="{FF2B5EF4-FFF2-40B4-BE49-F238E27FC236}">
              <a16:creationId xmlns:a16="http://schemas.microsoft.com/office/drawing/2014/main" id="{3C607F85-592F-C739-A738-1BF0C1E54A30}"/>
            </a:ext>
          </a:extLst>
        </xdr:cNvPr>
        <xdr:cNvSpPr txBox="1"/>
      </xdr:nvSpPr>
      <xdr:spPr>
        <a:xfrm>
          <a:off x="4953000" y="381000"/>
          <a:ext cx="5029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solidFill>
                <a:schemeClr val="bg1"/>
              </a:solidFill>
              <a:latin typeface="Sageo ui"/>
              <a:cs typeface="Times New Roman" panose="02020603050405020304" pitchFamily="18" charset="0"/>
            </a:rPr>
            <a:t>Over</a:t>
          </a:r>
          <a:r>
            <a:rPr lang="en-IN" sz="1200" b="1" baseline="0">
              <a:solidFill>
                <a:schemeClr val="bg1"/>
              </a:solidFill>
              <a:latin typeface="Sageo ui"/>
              <a:cs typeface="Times New Roman" panose="02020603050405020304" pitchFamily="18" charset="0"/>
            </a:rPr>
            <a:t>view Of Patients,Revenue,Treatments and Hospital Performance</a:t>
          </a:r>
          <a:endParaRPr lang="en-IN" sz="1200" b="1">
            <a:solidFill>
              <a:schemeClr val="bg1"/>
            </a:solidFill>
            <a:latin typeface="Sageo ui"/>
            <a:cs typeface="Times New Roman" panose="02020603050405020304" pitchFamily="18" charset="0"/>
          </a:endParaRPr>
        </a:p>
      </xdr:txBody>
    </xdr:sp>
    <xdr:clientData/>
  </xdr:twoCellAnchor>
  <xdr:twoCellAnchor editAs="oneCell">
    <xdr:from>
      <xdr:col>4</xdr:col>
      <xdr:colOff>480060</xdr:colOff>
      <xdr:row>0</xdr:row>
      <xdr:rowOff>99060</xdr:rowOff>
    </xdr:from>
    <xdr:to>
      <xdr:col>5</xdr:col>
      <xdr:colOff>510540</xdr:colOff>
      <xdr:row>2</xdr:row>
      <xdr:rowOff>137160</xdr:rowOff>
    </xdr:to>
    <xdr:pic>
      <xdr:nvPicPr>
        <xdr:cNvPr id="34" name="Picture 33">
          <a:extLst>
            <a:ext uri="{FF2B5EF4-FFF2-40B4-BE49-F238E27FC236}">
              <a16:creationId xmlns:a16="http://schemas.microsoft.com/office/drawing/2014/main" id="{B54EE899-3A1F-EB55-0A79-4D6C83E6B44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525" r="-2525"/>
        <a:stretch>
          <a:fillRect/>
        </a:stretch>
      </xdr:blipFill>
      <xdr:spPr>
        <a:xfrm>
          <a:off x="2918460" y="99060"/>
          <a:ext cx="640080" cy="403860"/>
        </a:xfrm>
        <a:prstGeom prst="rect">
          <a:avLst/>
        </a:prstGeom>
        <a:solidFill>
          <a:schemeClr val="bg2"/>
        </a:solidFill>
      </xdr:spPr>
    </xdr:pic>
    <xdr:clientData/>
  </xdr:twoCellAnchor>
  <xdr:twoCellAnchor editAs="absolute">
    <xdr:from>
      <xdr:col>2</xdr:col>
      <xdr:colOff>99060</xdr:colOff>
      <xdr:row>6</xdr:row>
      <xdr:rowOff>106680</xdr:rowOff>
    </xdr:from>
    <xdr:to>
      <xdr:col>2</xdr:col>
      <xdr:colOff>1059180</xdr:colOff>
      <xdr:row>8</xdr:row>
      <xdr:rowOff>68580</xdr:rowOff>
    </xdr:to>
    <xdr:sp macro="" textlink="'Pivot Report'!A4">
      <xdr:nvSpPr>
        <xdr:cNvPr id="35" name="TextBox 34">
          <a:extLst>
            <a:ext uri="{FF2B5EF4-FFF2-40B4-BE49-F238E27FC236}">
              <a16:creationId xmlns:a16="http://schemas.microsoft.com/office/drawing/2014/main" id="{BA0AE7D0-E6C9-4ACE-A3B8-8A1BB1715B86}"/>
            </a:ext>
          </a:extLst>
        </xdr:cNvPr>
        <xdr:cNvSpPr txBox="1"/>
      </xdr:nvSpPr>
      <xdr:spPr>
        <a:xfrm flipH="1">
          <a:off x="1874520" y="1203960"/>
          <a:ext cx="9601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F94D156-20EC-4191-9835-516D4D86A0AB}" type="TxLink">
            <a:rPr lang="en-US" sz="1400" b="1" i="0" u="none" strike="noStrike">
              <a:solidFill>
                <a:srgbClr val="000000"/>
              </a:solidFill>
              <a:latin typeface="Segoeui"/>
              <a:cs typeface="Times New Roman" panose="02020603050405020304" pitchFamily="18" charset="0"/>
            </a:rPr>
            <a:pPr algn="ctr"/>
            <a:t>1</a:t>
          </a:fld>
          <a:endParaRPr lang="en-IN" sz="1400" b="1">
            <a:latin typeface="Segoeui"/>
            <a:cs typeface="Times New Roman" panose="02020603050405020304" pitchFamily="18" charset="0"/>
          </a:endParaRPr>
        </a:p>
      </xdr:txBody>
    </xdr:sp>
    <xdr:clientData/>
  </xdr:twoCellAnchor>
  <xdr:twoCellAnchor editAs="absolute">
    <xdr:from>
      <xdr:col>0</xdr:col>
      <xdr:colOff>967740</xdr:colOff>
      <xdr:row>4</xdr:row>
      <xdr:rowOff>83820</xdr:rowOff>
    </xdr:from>
    <xdr:to>
      <xdr:col>2</xdr:col>
      <xdr:colOff>1363980</xdr:colOff>
      <xdr:row>6</xdr:row>
      <xdr:rowOff>45720</xdr:rowOff>
    </xdr:to>
    <xdr:sp macro="" textlink="'Pivot Report'!A4">
      <xdr:nvSpPr>
        <xdr:cNvPr id="36" name="TextBox 35">
          <a:extLst>
            <a:ext uri="{FF2B5EF4-FFF2-40B4-BE49-F238E27FC236}">
              <a16:creationId xmlns:a16="http://schemas.microsoft.com/office/drawing/2014/main" id="{6164CDAF-473A-4AE5-8FC7-D093D184FBE9}"/>
            </a:ext>
          </a:extLst>
        </xdr:cNvPr>
        <xdr:cNvSpPr txBox="1"/>
      </xdr:nvSpPr>
      <xdr:spPr>
        <a:xfrm flipH="1">
          <a:off x="967740" y="815340"/>
          <a:ext cx="2171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Segoeui"/>
              <a:cs typeface="Times New Roman" panose="02020603050405020304" pitchFamily="18" charset="0"/>
            </a:rPr>
            <a:t>No</a:t>
          </a:r>
          <a:r>
            <a:rPr lang="en-IN" sz="900" b="1" baseline="0">
              <a:latin typeface="Segoeui"/>
              <a:cs typeface="Times New Roman" panose="02020603050405020304" pitchFamily="18" charset="0"/>
            </a:rPr>
            <a:t>. of Patients</a:t>
          </a:r>
          <a:endParaRPr lang="en-IN" sz="900" b="1">
            <a:latin typeface="Segoeui"/>
            <a:cs typeface="Times New Roman" panose="02020603050405020304" pitchFamily="18" charset="0"/>
          </a:endParaRPr>
        </a:p>
      </xdr:txBody>
    </xdr:sp>
    <xdr:clientData/>
  </xdr:twoCellAnchor>
  <xdr:twoCellAnchor editAs="absolute">
    <xdr:from>
      <xdr:col>3</xdr:col>
      <xdr:colOff>396240</xdr:colOff>
      <xdr:row>6</xdr:row>
      <xdr:rowOff>106680</xdr:rowOff>
    </xdr:from>
    <xdr:to>
      <xdr:col>4</xdr:col>
      <xdr:colOff>411480</xdr:colOff>
      <xdr:row>8</xdr:row>
      <xdr:rowOff>68580</xdr:rowOff>
    </xdr:to>
    <xdr:sp macro="" textlink="'Pivot Report'!A8">
      <xdr:nvSpPr>
        <xdr:cNvPr id="39" name="TextBox 38">
          <a:extLst>
            <a:ext uri="{FF2B5EF4-FFF2-40B4-BE49-F238E27FC236}">
              <a16:creationId xmlns:a16="http://schemas.microsoft.com/office/drawing/2014/main" id="{5802EFDA-3659-49FB-A5E8-18CE933CA9F5}"/>
            </a:ext>
          </a:extLst>
        </xdr:cNvPr>
        <xdr:cNvSpPr txBox="1"/>
      </xdr:nvSpPr>
      <xdr:spPr>
        <a:xfrm flipH="1">
          <a:off x="3642360" y="1203960"/>
          <a:ext cx="6248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1EC4888-36A3-4911-8E0D-412AC1B189C2}" type="TxLink">
            <a:rPr lang="en-US" sz="1400" b="1" i="0" u="none" strike="noStrike">
              <a:solidFill>
                <a:srgbClr val="000000"/>
              </a:solidFill>
              <a:latin typeface="Segoeui"/>
              <a:cs typeface="Times New Roman" panose="02020603050405020304" pitchFamily="18" charset="0"/>
            </a:rPr>
            <a:pPr algn="ctr"/>
            <a:t>738</a:t>
          </a:fld>
          <a:endParaRPr lang="en-IN" sz="1400" b="1">
            <a:latin typeface="Segoeui"/>
            <a:cs typeface="Times New Roman" panose="02020603050405020304" pitchFamily="18" charset="0"/>
          </a:endParaRPr>
        </a:p>
      </xdr:txBody>
    </xdr:sp>
    <xdr:clientData/>
  </xdr:twoCellAnchor>
  <xdr:twoCellAnchor editAs="absolute">
    <xdr:from>
      <xdr:col>2</xdr:col>
      <xdr:colOff>1120140</xdr:colOff>
      <xdr:row>4</xdr:row>
      <xdr:rowOff>83820</xdr:rowOff>
    </xdr:from>
    <xdr:to>
      <xdr:col>4</xdr:col>
      <xdr:colOff>350520</xdr:colOff>
      <xdr:row>6</xdr:row>
      <xdr:rowOff>45720</xdr:rowOff>
    </xdr:to>
    <xdr:sp macro="" textlink="'Pivot Report'!A4">
      <xdr:nvSpPr>
        <xdr:cNvPr id="40" name="TextBox 39">
          <a:extLst>
            <a:ext uri="{FF2B5EF4-FFF2-40B4-BE49-F238E27FC236}">
              <a16:creationId xmlns:a16="http://schemas.microsoft.com/office/drawing/2014/main" id="{C00F5785-B19E-46E1-AC35-8D26EB84106A}"/>
            </a:ext>
          </a:extLst>
        </xdr:cNvPr>
        <xdr:cNvSpPr txBox="1"/>
      </xdr:nvSpPr>
      <xdr:spPr>
        <a:xfrm flipH="1">
          <a:off x="2895600" y="815340"/>
          <a:ext cx="13106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Segoeui"/>
              <a:cs typeface="Times New Roman" panose="02020603050405020304" pitchFamily="18" charset="0"/>
            </a:rPr>
            <a:t>Total</a:t>
          </a:r>
          <a:r>
            <a:rPr lang="en-IN" sz="900" b="1" baseline="0">
              <a:latin typeface="Segoeui"/>
              <a:cs typeface="Times New Roman" panose="02020603050405020304" pitchFamily="18" charset="0"/>
            </a:rPr>
            <a:t> Revenue</a:t>
          </a:r>
          <a:endParaRPr lang="en-IN" sz="900" b="1">
            <a:latin typeface="Segoeui"/>
            <a:cs typeface="Times New Roman" panose="02020603050405020304" pitchFamily="18" charset="0"/>
          </a:endParaRPr>
        </a:p>
      </xdr:txBody>
    </xdr:sp>
    <xdr:clientData/>
  </xdr:twoCellAnchor>
  <xdr:twoCellAnchor editAs="absolute">
    <xdr:from>
      <xdr:col>6</xdr:col>
      <xdr:colOff>53340</xdr:colOff>
      <xdr:row>6</xdr:row>
      <xdr:rowOff>76200</xdr:rowOff>
    </xdr:from>
    <xdr:to>
      <xdr:col>7</xdr:col>
      <xdr:colOff>167640</xdr:colOff>
      <xdr:row>8</xdr:row>
      <xdr:rowOff>38100</xdr:rowOff>
    </xdr:to>
    <xdr:sp macro="" textlink="'Pivot Report'!A13">
      <xdr:nvSpPr>
        <xdr:cNvPr id="43" name="TextBox 42">
          <a:extLst>
            <a:ext uri="{FF2B5EF4-FFF2-40B4-BE49-F238E27FC236}">
              <a16:creationId xmlns:a16="http://schemas.microsoft.com/office/drawing/2014/main" id="{7003C716-0DBE-43F0-BD6A-0A1148B262BE}"/>
            </a:ext>
          </a:extLst>
        </xdr:cNvPr>
        <xdr:cNvSpPr txBox="1"/>
      </xdr:nvSpPr>
      <xdr:spPr>
        <a:xfrm flipH="1">
          <a:off x="5128260" y="1173480"/>
          <a:ext cx="7239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8F728A2-A4BF-4C04-8094-CC33E59EF280}" type="TxLink">
            <a:rPr lang="en-US" sz="1400" b="1" i="0" u="none" strike="noStrike">
              <a:solidFill>
                <a:srgbClr val="000000"/>
              </a:solidFill>
              <a:latin typeface="Segoeui"/>
              <a:cs typeface="Times New Roman" panose="02020603050405020304" pitchFamily="18" charset="0"/>
            </a:rPr>
            <a:pPr algn="ctr"/>
            <a:t>738.00</a:t>
          </a:fld>
          <a:endParaRPr lang="en-IN" sz="1400" b="1">
            <a:latin typeface="Segoeui"/>
            <a:cs typeface="Times New Roman" panose="02020603050405020304" pitchFamily="18" charset="0"/>
          </a:endParaRPr>
        </a:p>
      </xdr:txBody>
    </xdr:sp>
    <xdr:clientData/>
  </xdr:twoCellAnchor>
  <xdr:twoCellAnchor editAs="absolute">
    <xdr:from>
      <xdr:col>5</xdr:col>
      <xdr:colOff>121920</xdr:colOff>
      <xdr:row>4</xdr:row>
      <xdr:rowOff>60960</xdr:rowOff>
    </xdr:from>
    <xdr:to>
      <xdr:col>7</xdr:col>
      <xdr:colOff>190500</xdr:colOff>
      <xdr:row>6</xdr:row>
      <xdr:rowOff>22860</xdr:rowOff>
    </xdr:to>
    <xdr:sp macro="" textlink="'Pivot Report'!A4">
      <xdr:nvSpPr>
        <xdr:cNvPr id="44" name="TextBox 43">
          <a:extLst>
            <a:ext uri="{FF2B5EF4-FFF2-40B4-BE49-F238E27FC236}">
              <a16:creationId xmlns:a16="http://schemas.microsoft.com/office/drawing/2014/main" id="{3933C228-5D84-4319-9A42-F15ABC7EA307}"/>
            </a:ext>
          </a:extLst>
        </xdr:cNvPr>
        <xdr:cNvSpPr txBox="1"/>
      </xdr:nvSpPr>
      <xdr:spPr>
        <a:xfrm flipH="1">
          <a:off x="4587240" y="792480"/>
          <a:ext cx="12877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Segoeui"/>
              <a:cs typeface="Times New Roman" panose="02020603050405020304" pitchFamily="18" charset="0"/>
            </a:rPr>
            <a:t>Average</a:t>
          </a:r>
          <a:r>
            <a:rPr lang="en-IN" sz="900" b="1" baseline="0">
              <a:latin typeface="Segoeui"/>
              <a:cs typeface="Times New Roman" panose="02020603050405020304" pitchFamily="18" charset="0"/>
            </a:rPr>
            <a:t> Bill</a:t>
          </a:r>
          <a:endParaRPr lang="en-IN" sz="900" b="1">
            <a:latin typeface="Segoeui"/>
            <a:cs typeface="Times New Roman" panose="02020603050405020304" pitchFamily="18" charset="0"/>
          </a:endParaRPr>
        </a:p>
      </xdr:txBody>
    </xdr:sp>
    <xdr:clientData/>
  </xdr:twoCellAnchor>
  <xdr:twoCellAnchor editAs="absolute">
    <xdr:from>
      <xdr:col>8</xdr:col>
      <xdr:colOff>495300</xdr:colOff>
      <xdr:row>6</xdr:row>
      <xdr:rowOff>99060</xdr:rowOff>
    </xdr:from>
    <xdr:to>
      <xdr:col>10</xdr:col>
      <xdr:colOff>0</xdr:colOff>
      <xdr:row>8</xdr:row>
      <xdr:rowOff>7620</xdr:rowOff>
    </xdr:to>
    <xdr:sp macro="" textlink="'Pivot Report'!A60">
      <xdr:nvSpPr>
        <xdr:cNvPr id="47" name="TextBox 46">
          <a:extLst>
            <a:ext uri="{FF2B5EF4-FFF2-40B4-BE49-F238E27FC236}">
              <a16:creationId xmlns:a16="http://schemas.microsoft.com/office/drawing/2014/main" id="{6DB3D466-DE2A-4637-84D3-732D6ECC2EC4}"/>
            </a:ext>
          </a:extLst>
        </xdr:cNvPr>
        <xdr:cNvSpPr txBox="1"/>
      </xdr:nvSpPr>
      <xdr:spPr>
        <a:xfrm flipH="1">
          <a:off x="6789420" y="1196340"/>
          <a:ext cx="7239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11CD1F1-FD21-42EB-A77C-86C4B5BF91EC}" type="TxLink">
            <a:rPr lang="en-US" sz="1400" b="1" i="0" u="none" strike="noStrike">
              <a:solidFill>
                <a:srgbClr val="000000"/>
              </a:solidFill>
              <a:latin typeface="Segoeui"/>
              <a:cs typeface="Times New Roman" panose="02020603050405020304" pitchFamily="18" charset="0"/>
            </a:rPr>
            <a:pPr algn="ctr"/>
            <a:t>738.00</a:t>
          </a:fld>
          <a:endParaRPr lang="en-IN" sz="1400" b="1">
            <a:latin typeface="Segoeui"/>
            <a:cs typeface="Times New Roman" panose="02020603050405020304" pitchFamily="18" charset="0"/>
          </a:endParaRPr>
        </a:p>
      </xdr:txBody>
    </xdr:sp>
    <xdr:clientData/>
  </xdr:twoCellAnchor>
  <xdr:twoCellAnchor>
    <xdr:from>
      <xdr:col>1</xdr:col>
      <xdr:colOff>274320</xdr:colOff>
      <xdr:row>8</xdr:row>
      <xdr:rowOff>121920</xdr:rowOff>
    </xdr:from>
    <xdr:to>
      <xdr:col>4</xdr:col>
      <xdr:colOff>259080</xdr:colOff>
      <xdr:row>11</xdr:row>
      <xdr:rowOff>175260</xdr:rowOff>
    </xdr:to>
    <xdr:graphicFrame macro="">
      <xdr:nvGraphicFramePr>
        <xdr:cNvPr id="24" name="Chart 23" hidden="1">
          <a:extLst>
            <a:ext uri="{FF2B5EF4-FFF2-40B4-BE49-F238E27FC236}">
              <a16:creationId xmlns:a16="http://schemas.microsoft.com/office/drawing/2014/main" id="{8E2F91A5-68C8-49C5-9AD1-46955D327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541020</xdr:colOff>
      <xdr:row>6</xdr:row>
      <xdr:rowOff>144780</xdr:rowOff>
    </xdr:from>
    <xdr:to>
      <xdr:col>9</xdr:col>
      <xdr:colOff>556260</xdr:colOff>
      <xdr:row>10</xdr:row>
      <xdr:rowOff>60960</xdr:rowOff>
    </xdr:to>
    <xdr:graphicFrame macro="">
      <xdr:nvGraphicFramePr>
        <xdr:cNvPr id="25" name="Chart 24" hidden="1">
          <a:extLst>
            <a:ext uri="{FF2B5EF4-FFF2-40B4-BE49-F238E27FC236}">
              <a16:creationId xmlns:a16="http://schemas.microsoft.com/office/drawing/2014/main" id="{A95C4775-BC65-47A4-B558-F1408D8C0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373380</xdr:colOff>
      <xdr:row>10</xdr:row>
      <xdr:rowOff>0</xdr:rowOff>
    </xdr:from>
    <xdr:to>
      <xdr:col>6</xdr:col>
      <xdr:colOff>243840</xdr:colOff>
      <xdr:row>11</xdr:row>
      <xdr:rowOff>129540</xdr:rowOff>
    </xdr:to>
    <xdr:graphicFrame macro="">
      <xdr:nvGraphicFramePr>
        <xdr:cNvPr id="31" name="Chart 30" hidden="1">
          <a:extLst>
            <a:ext uri="{FF2B5EF4-FFF2-40B4-BE49-F238E27FC236}">
              <a16:creationId xmlns:a16="http://schemas.microsoft.com/office/drawing/2014/main" id="{C8D476DA-EA19-4E76-9786-24558592D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358140</xdr:colOff>
      <xdr:row>6</xdr:row>
      <xdr:rowOff>114300</xdr:rowOff>
    </xdr:from>
    <xdr:to>
      <xdr:col>12</xdr:col>
      <xdr:colOff>312420</xdr:colOff>
      <xdr:row>9</xdr:row>
      <xdr:rowOff>0</xdr:rowOff>
    </xdr:to>
    <xdr:graphicFrame macro="">
      <xdr:nvGraphicFramePr>
        <xdr:cNvPr id="45" name="Chart 44" hidden="1">
          <a:extLst>
            <a:ext uri="{FF2B5EF4-FFF2-40B4-BE49-F238E27FC236}">
              <a16:creationId xmlns:a16="http://schemas.microsoft.com/office/drawing/2014/main" id="{C429E2FB-8CC7-4619-AA56-48C70DC69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441960</xdr:colOff>
      <xdr:row>12</xdr:row>
      <xdr:rowOff>137160</xdr:rowOff>
    </xdr:from>
    <xdr:to>
      <xdr:col>11</xdr:col>
      <xdr:colOff>243840</xdr:colOff>
      <xdr:row>23</xdr:row>
      <xdr:rowOff>0</xdr:rowOff>
    </xdr:to>
    <xdr:graphicFrame macro="">
      <xdr:nvGraphicFramePr>
        <xdr:cNvPr id="49" name="Chart 48" hidden="1">
          <a:extLst>
            <a:ext uri="{FF2B5EF4-FFF2-40B4-BE49-F238E27FC236}">
              <a16:creationId xmlns:a16="http://schemas.microsoft.com/office/drawing/2014/main" id="{597D31FD-DE60-48CD-BFEC-5EFA9DA35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601980</xdr:colOff>
      <xdr:row>12</xdr:row>
      <xdr:rowOff>152400</xdr:rowOff>
    </xdr:from>
    <xdr:to>
      <xdr:col>21</xdr:col>
      <xdr:colOff>121920</xdr:colOff>
      <xdr:row>23</xdr:row>
      <xdr:rowOff>30480</xdr:rowOff>
    </xdr:to>
    <xdr:graphicFrame macro="">
      <xdr:nvGraphicFramePr>
        <xdr:cNvPr id="58" name="Chart 57" hidden="1">
          <a:extLst>
            <a:ext uri="{FF2B5EF4-FFF2-40B4-BE49-F238E27FC236}">
              <a16:creationId xmlns:a16="http://schemas.microsoft.com/office/drawing/2014/main" id="{01CF3B6D-00B1-4C7F-8A96-2434B99BE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388620</xdr:colOff>
      <xdr:row>34</xdr:row>
      <xdr:rowOff>167639</xdr:rowOff>
    </xdr:from>
    <xdr:to>
      <xdr:col>11</xdr:col>
      <xdr:colOff>167640</xdr:colOff>
      <xdr:row>35</xdr:row>
      <xdr:rowOff>30478</xdr:rowOff>
    </xdr:to>
    <xdr:graphicFrame macro="">
      <xdr:nvGraphicFramePr>
        <xdr:cNvPr id="59" name="Chart 58">
          <a:extLst>
            <a:ext uri="{FF2B5EF4-FFF2-40B4-BE49-F238E27FC236}">
              <a16:creationId xmlns:a16="http://schemas.microsoft.com/office/drawing/2014/main" id="{3522A976-0BF7-491E-80B0-591C482A6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541020</xdr:colOff>
      <xdr:row>24</xdr:row>
      <xdr:rowOff>137160</xdr:rowOff>
    </xdr:from>
    <xdr:to>
      <xdr:col>21</xdr:col>
      <xdr:colOff>38100</xdr:colOff>
      <xdr:row>35</xdr:row>
      <xdr:rowOff>45720</xdr:rowOff>
    </xdr:to>
    <xdr:graphicFrame macro="">
      <xdr:nvGraphicFramePr>
        <xdr:cNvPr id="21" name="Chart 20" hidden="1">
          <a:extLst>
            <a:ext uri="{FF2B5EF4-FFF2-40B4-BE49-F238E27FC236}">
              <a16:creationId xmlns:a16="http://schemas.microsoft.com/office/drawing/2014/main" id="{2DEDA520-400E-4D49-8B7B-C93F932B3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90030</xdr:colOff>
      <xdr:row>16</xdr:row>
      <xdr:rowOff>7620</xdr:rowOff>
    </xdr:from>
    <xdr:to>
      <xdr:col>0</xdr:col>
      <xdr:colOff>1036320</xdr:colOff>
      <xdr:row>20</xdr:row>
      <xdr:rowOff>15240</xdr:rowOff>
    </xdr:to>
    <mc:AlternateContent xmlns:mc="http://schemas.openxmlformats.org/markup-compatibility/2006" xmlns:a14="http://schemas.microsoft.com/office/drawing/2010/main">
      <mc:Choice Requires="a14">
        <xdr:graphicFrame macro="">
          <xdr:nvGraphicFramePr>
            <xdr:cNvPr id="37" name="Gender">
              <a:extLst>
                <a:ext uri="{FF2B5EF4-FFF2-40B4-BE49-F238E27FC236}">
                  <a16:creationId xmlns:a16="http://schemas.microsoft.com/office/drawing/2014/main" id="{164FD6ED-3F82-4E4D-A0D9-2CA9F216438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030" y="2933700"/>
              <a:ext cx="946290" cy="739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22</xdr:row>
      <xdr:rowOff>91440</xdr:rowOff>
    </xdr:from>
    <xdr:to>
      <xdr:col>0</xdr:col>
      <xdr:colOff>1104900</xdr:colOff>
      <xdr:row>30</xdr:row>
      <xdr:rowOff>38100</xdr:rowOff>
    </xdr:to>
    <mc:AlternateContent xmlns:mc="http://schemas.openxmlformats.org/markup-compatibility/2006" xmlns:a14="http://schemas.microsoft.com/office/drawing/2010/main">
      <mc:Choice Requires="a14">
        <xdr:graphicFrame macro="">
          <xdr:nvGraphicFramePr>
            <xdr:cNvPr id="41" name="Medical Condition">
              <a:extLst>
                <a:ext uri="{FF2B5EF4-FFF2-40B4-BE49-F238E27FC236}">
                  <a16:creationId xmlns:a16="http://schemas.microsoft.com/office/drawing/2014/main" id="{76B1B3DD-6EAE-486A-B031-8138F5993F33}"/>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60960" y="4114800"/>
              <a:ext cx="104394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144780</xdr:colOff>
      <xdr:row>5</xdr:row>
      <xdr:rowOff>7620</xdr:rowOff>
    </xdr:from>
    <xdr:to>
      <xdr:col>1</xdr:col>
      <xdr:colOff>259080</xdr:colOff>
      <xdr:row>6</xdr:row>
      <xdr:rowOff>7620</xdr:rowOff>
    </xdr:to>
    <xdr:sp macro="" textlink="'Pivot Report'!A13">
      <xdr:nvSpPr>
        <xdr:cNvPr id="62" name="TextBox 61">
          <a:extLst>
            <a:ext uri="{FF2B5EF4-FFF2-40B4-BE49-F238E27FC236}">
              <a16:creationId xmlns:a16="http://schemas.microsoft.com/office/drawing/2014/main" id="{DE2D378F-97DF-455D-AE7D-6F26E85D6A0E}"/>
            </a:ext>
          </a:extLst>
        </xdr:cNvPr>
        <xdr:cNvSpPr txBox="1"/>
      </xdr:nvSpPr>
      <xdr:spPr>
        <a:xfrm flipH="1">
          <a:off x="144780" y="922020"/>
          <a:ext cx="7239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100" b="0">
              <a:solidFill>
                <a:schemeClr val="bg1"/>
              </a:solidFill>
              <a:latin typeface="Segoe UI "/>
              <a:ea typeface="Segoe UI Black" panose="020B0A02040204020203" pitchFamily="34" charset="0"/>
              <a:cs typeface="Times New Roman" panose="02020603050405020304" pitchFamily="18" charset="0"/>
            </a:rPr>
            <a:t>Year</a:t>
          </a:r>
        </a:p>
      </xdr:txBody>
    </xdr:sp>
    <xdr:clientData/>
  </xdr:twoCellAnchor>
  <xdr:twoCellAnchor>
    <xdr:from>
      <xdr:col>0</xdr:col>
      <xdr:colOff>90030</xdr:colOff>
      <xdr:row>14</xdr:row>
      <xdr:rowOff>45720</xdr:rowOff>
    </xdr:from>
    <xdr:to>
      <xdr:col>1</xdr:col>
      <xdr:colOff>204330</xdr:colOff>
      <xdr:row>15</xdr:row>
      <xdr:rowOff>45720</xdr:rowOff>
    </xdr:to>
    <xdr:sp macro="" textlink="'Pivot Report'!A13">
      <xdr:nvSpPr>
        <xdr:cNvPr id="67" name="TextBox 66">
          <a:extLst>
            <a:ext uri="{FF2B5EF4-FFF2-40B4-BE49-F238E27FC236}">
              <a16:creationId xmlns:a16="http://schemas.microsoft.com/office/drawing/2014/main" id="{12F35E49-790F-4881-ACCA-730F39AE0D1B}"/>
            </a:ext>
          </a:extLst>
        </xdr:cNvPr>
        <xdr:cNvSpPr txBox="1"/>
      </xdr:nvSpPr>
      <xdr:spPr>
        <a:xfrm flipH="1">
          <a:off x="90030" y="2606040"/>
          <a:ext cx="82296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100" b="0">
              <a:solidFill>
                <a:schemeClr val="bg1"/>
              </a:solidFill>
              <a:latin typeface="Segoe UI "/>
              <a:ea typeface="Segoe UI Black" panose="020B0A02040204020203" pitchFamily="34" charset="0"/>
              <a:cs typeface="Times New Roman" panose="02020603050405020304" pitchFamily="18" charset="0"/>
            </a:rPr>
            <a:t>Gender</a:t>
          </a:r>
        </a:p>
        <a:p>
          <a:pPr algn="l"/>
          <a:endParaRPr lang="en-IN" sz="1100" b="0">
            <a:solidFill>
              <a:schemeClr val="bg1"/>
            </a:solidFill>
            <a:latin typeface="Segoe UI "/>
            <a:ea typeface="Segoe UI Black" panose="020B0A02040204020203" pitchFamily="34" charset="0"/>
            <a:cs typeface="Times New Roman" panose="02020603050405020304" pitchFamily="18" charset="0"/>
          </a:endParaRPr>
        </a:p>
        <a:p>
          <a:pPr algn="l"/>
          <a:endParaRPr lang="en-IN" sz="1100" b="0">
            <a:solidFill>
              <a:schemeClr val="bg1"/>
            </a:solidFill>
            <a:latin typeface="Segoe UI "/>
            <a:ea typeface="Segoe UI Black" panose="020B0A02040204020203" pitchFamily="34" charset="0"/>
            <a:cs typeface="Times New Roman" panose="02020603050405020304" pitchFamily="18" charset="0"/>
          </a:endParaRPr>
        </a:p>
      </xdr:txBody>
    </xdr:sp>
    <xdr:clientData/>
  </xdr:twoCellAnchor>
  <xdr:twoCellAnchor>
    <xdr:from>
      <xdr:col>0</xdr:col>
      <xdr:colOff>76200</xdr:colOff>
      <xdr:row>20</xdr:row>
      <xdr:rowOff>160020</xdr:rowOff>
    </xdr:from>
    <xdr:to>
      <xdr:col>2</xdr:col>
      <xdr:colOff>7620</xdr:colOff>
      <xdr:row>21</xdr:row>
      <xdr:rowOff>175260</xdr:rowOff>
    </xdr:to>
    <xdr:sp macro="" textlink="'Pivot Report'!A13">
      <xdr:nvSpPr>
        <xdr:cNvPr id="68" name="TextBox 67">
          <a:extLst>
            <a:ext uri="{FF2B5EF4-FFF2-40B4-BE49-F238E27FC236}">
              <a16:creationId xmlns:a16="http://schemas.microsoft.com/office/drawing/2014/main" id="{0EEB7B97-E55B-4A3F-B97A-98579CE1EAA5}"/>
            </a:ext>
          </a:extLst>
        </xdr:cNvPr>
        <xdr:cNvSpPr txBox="1"/>
      </xdr:nvSpPr>
      <xdr:spPr>
        <a:xfrm flipH="1">
          <a:off x="76200" y="3817620"/>
          <a:ext cx="12496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000" b="0">
              <a:solidFill>
                <a:schemeClr val="bg1"/>
              </a:solidFill>
              <a:latin typeface="Segoe UI "/>
              <a:ea typeface="Segoe UI Black" panose="020B0A02040204020203" pitchFamily="34" charset="0"/>
              <a:cs typeface="Times New Roman" panose="02020603050405020304" pitchFamily="18" charset="0"/>
            </a:rPr>
            <a:t>Medical</a:t>
          </a:r>
          <a:r>
            <a:rPr lang="en-IN" sz="1000" b="0" baseline="0">
              <a:solidFill>
                <a:schemeClr val="bg1"/>
              </a:solidFill>
              <a:latin typeface="Segoe UI "/>
              <a:ea typeface="Segoe UI Black" panose="020B0A02040204020203" pitchFamily="34" charset="0"/>
              <a:cs typeface="Times New Roman" panose="02020603050405020304" pitchFamily="18" charset="0"/>
            </a:rPr>
            <a:t> Condition</a:t>
          </a:r>
          <a:endParaRPr lang="en-IN" sz="1000" b="0">
            <a:solidFill>
              <a:schemeClr val="bg1"/>
            </a:solidFill>
            <a:latin typeface="Segoe UI "/>
            <a:ea typeface="Segoe UI Black" panose="020B0A02040204020203" pitchFamily="34" charset="0"/>
            <a:cs typeface="Times New Roman" panose="02020603050405020304" pitchFamily="18" charset="0"/>
          </a:endParaRPr>
        </a:p>
        <a:p>
          <a:pPr algn="l"/>
          <a:endParaRPr lang="en-IN" sz="1000" b="0">
            <a:solidFill>
              <a:schemeClr val="bg1"/>
            </a:solidFill>
            <a:latin typeface="Segoe UI "/>
            <a:ea typeface="Segoe UI Black" panose="020B0A02040204020203" pitchFamily="34" charset="0"/>
            <a:cs typeface="Times New Roman" panose="02020603050405020304" pitchFamily="18" charset="0"/>
          </a:endParaRPr>
        </a:p>
        <a:p>
          <a:pPr algn="l"/>
          <a:endParaRPr lang="en-IN" sz="1000" b="0">
            <a:solidFill>
              <a:schemeClr val="bg1"/>
            </a:solidFill>
            <a:latin typeface="Segoe UI "/>
            <a:ea typeface="Segoe UI Black" panose="020B0A02040204020203" pitchFamily="34" charset="0"/>
            <a:cs typeface="Times New Roman" panose="02020603050405020304" pitchFamily="18" charset="0"/>
          </a:endParaRPr>
        </a:p>
      </xdr:txBody>
    </xdr:sp>
    <xdr:clientData/>
  </xdr:twoCellAnchor>
  <xdr:twoCellAnchor editAs="absolute">
    <xdr:from>
      <xdr:col>0</xdr:col>
      <xdr:colOff>1234440</xdr:colOff>
      <xdr:row>9</xdr:row>
      <xdr:rowOff>30480</xdr:rowOff>
    </xdr:from>
    <xdr:to>
      <xdr:col>2</xdr:col>
      <xdr:colOff>906780</xdr:colOff>
      <xdr:row>10</xdr:row>
      <xdr:rowOff>175260</xdr:rowOff>
    </xdr:to>
    <xdr:sp macro="" textlink="'Pivot Report'!A4">
      <xdr:nvSpPr>
        <xdr:cNvPr id="70" name="TextBox 69">
          <a:extLst>
            <a:ext uri="{FF2B5EF4-FFF2-40B4-BE49-F238E27FC236}">
              <a16:creationId xmlns:a16="http://schemas.microsoft.com/office/drawing/2014/main" id="{FDB30C54-5E94-4732-B0BE-6A78C025ACDD}"/>
            </a:ext>
          </a:extLst>
        </xdr:cNvPr>
        <xdr:cNvSpPr txBox="1"/>
      </xdr:nvSpPr>
      <xdr:spPr>
        <a:xfrm flipH="1">
          <a:off x="1234440" y="1676400"/>
          <a:ext cx="14478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a:latin typeface="Segoeui"/>
              <a:cs typeface="Times New Roman" panose="02020603050405020304" pitchFamily="18" charset="0"/>
            </a:rPr>
            <a:t>Distinct</a:t>
          </a:r>
          <a:r>
            <a:rPr lang="en-IN" sz="800" b="0" baseline="0">
              <a:latin typeface="Segoeui"/>
              <a:cs typeface="Times New Roman" panose="02020603050405020304" pitchFamily="18" charset="0"/>
            </a:rPr>
            <a:t> count of patient id</a:t>
          </a:r>
          <a:endParaRPr lang="en-IN" sz="800" b="0">
            <a:latin typeface="Segoeui"/>
            <a:cs typeface="Times New Roman" panose="02020603050405020304" pitchFamily="18" charset="0"/>
          </a:endParaRPr>
        </a:p>
      </xdr:txBody>
    </xdr:sp>
    <xdr:clientData/>
  </xdr:twoCellAnchor>
  <xdr:twoCellAnchor editAs="absolute">
    <xdr:from>
      <xdr:col>2</xdr:col>
      <xdr:colOff>1242060</xdr:colOff>
      <xdr:row>9</xdr:row>
      <xdr:rowOff>68580</xdr:rowOff>
    </xdr:from>
    <xdr:to>
      <xdr:col>4</xdr:col>
      <xdr:colOff>487680</xdr:colOff>
      <xdr:row>10</xdr:row>
      <xdr:rowOff>121920</xdr:rowOff>
    </xdr:to>
    <xdr:sp macro="" textlink="'Pivot Report'!A4">
      <xdr:nvSpPr>
        <xdr:cNvPr id="71" name="TextBox 70">
          <a:extLst>
            <a:ext uri="{FF2B5EF4-FFF2-40B4-BE49-F238E27FC236}">
              <a16:creationId xmlns:a16="http://schemas.microsoft.com/office/drawing/2014/main" id="{5CEABF42-23B5-4425-87DF-FCA175BE003C}"/>
            </a:ext>
          </a:extLst>
        </xdr:cNvPr>
        <xdr:cNvSpPr txBox="1"/>
      </xdr:nvSpPr>
      <xdr:spPr>
        <a:xfrm flipH="1">
          <a:off x="3017520" y="1714500"/>
          <a:ext cx="13258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a:latin typeface="Segoeui"/>
              <a:cs typeface="Times New Roman" panose="02020603050405020304" pitchFamily="18" charset="0"/>
            </a:rPr>
            <a:t>Sum</a:t>
          </a:r>
          <a:r>
            <a:rPr lang="en-IN" sz="800" b="0" baseline="0">
              <a:latin typeface="Segoeui"/>
              <a:cs typeface="Times New Roman" panose="02020603050405020304" pitchFamily="18" charset="0"/>
            </a:rPr>
            <a:t> Of Bill Amount</a:t>
          </a:r>
          <a:endParaRPr lang="en-IN" sz="800" b="0">
            <a:latin typeface="Segoeui"/>
            <a:cs typeface="Times New Roman" panose="02020603050405020304" pitchFamily="18" charset="0"/>
          </a:endParaRPr>
        </a:p>
      </xdr:txBody>
    </xdr:sp>
    <xdr:clientData/>
  </xdr:twoCellAnchor>
  <xdr:twoCellAnchor editAs="absolute">
    <xdr:from>
      <xdr:col>5</xdr:col>
      <xdr:colOff>144780</xdr:colOff>
      <xdr:row>9</xdr:row>
      <xdr:rowOff>45720</xdr:rowOff>
    </xdr:from>
    <xdr:to>
      <xdr:col>7</xdr:col>
      <xdr:colOff>251460</xdr:colOff>
      <xdr:row>10</xdr:row>
      <xdr:rowOff>99060</xdr:rowOff>
    </xdr:to>
    <xdr:sp macro="" textlink="'Pivot Report'!A4">
      <xdr:nvSpPr>
        <xdr:cNvPr id="72" name="TextBox 71">
          <a:extLst>
            <a:ext uri="{FF2B5EF4-FFF2-40B4-BE49-F238E27FC236}">
              <a16:creationId xmlns:a16="http://schemas.microsoft.com/office/drawing/2014/main" id="{62831C72-FE79-4ADC-8311-6306D144AA7C}"/>
            </a:ext>
          </a:extLst>
        </xdr:cNvPr>
        <xdr:cNvSpPr txBox="1"/>
      </xdr:nvSpPr>
      <xdr:spPr>
        <a:xfrm flipH="1">
          <a:off x="4610100" y="1691640"/>
          <a:ext cx="13258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baseline="0">
              <a:latin typeface="Segoeui"/>
              <a:cs typeface="Times New Roman" panose="02020603050405020304" pitchFamily="18" charset="0"/>
            </a:rPr>
            <a:t>Average Bill Amount</a:t>
          </a:r>
          <a:endParaRPr lang="en-IN" sz="800" b="0">
            <a:latin typeface="Segoeui"/>
            <a:cs typeface="Times New Roman" panose="02020603050405020304" pitchFamily="18" charset="0"/>
          </a:endParaRPr>
        </a:p>
      </xdr:txBody>
    </xdr:sp>
    <xdr:clientData/>
  </xdr:twoCellAnchor>
  <xdr:twoCellAnchor editAs="absolute">
    <xdr:from>
      <xdr:col>13</xdr:col>
      <xdr:colOff>99060</xdr:colOff>
      <xdr:row>4</xdr:row>
      <xdr:rowOff>83820</xdr:rowOff>
    </xdr:from>
    <xdr:to>
      <xdr:col>15</xdr:col>
      <xdr:colOff>366720</xdr:colOff>
      <xdr:row>6</xdr:row>
      <xdr:rowOff>30480</xdr:rowOff>
    </xdr:to>
    <xdr:sp macro="" textlink="'Pivot Report'!A4">
      <xdr:nvSpPr>
        <xdr:cNvPr id="76" name="TextBox 75">
          <a:extLst>
            <a:ext uri="{FF2B5EF4-FFF2-40B4-BE49-F238E27FC236}">
              <a16:creationId xmlns:a16="http://schemas.microsoft.com/office/drawing/2014/main" id="{63E97A01-B219-40C5-9F01-6462C50E446F}"/>
            </a:ext>
          </a:extLst>
        </xdr:cNvPr>
        <xdr:cNvSpPr txBox="1"/>
      </xdr:nvSpPr>
      <xdr:spPr>
        <a:xfrm flipH="1">
          <a:off x="9441180" y="815340"/>
          <a:ext cx="14868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Segoeui"/>
              <a:cs typeface="Times New Roman" panose="02020603050405020304" pitchFamily="18" charset="0"/>
            </a:rPr>
            <a:t>Unique</a:t>
          </a:r>
          <a:r>
            <a:rPr lang="en-IN" sz="900" b="1" baseline="0">
              <a:latin typeface="Segoeui"/>
              <a:cs typeface="Times New Roman" panose="02020603050405020304" pitchFamily="18" charset="0"/>
            </a:rPr>
            <a:t> </a:t>
          </a:r>
          <a:r>
            <a:rPr lang="en-IN" sz="900" b="1">
              <a:latin typeface="Segoeui"/>
              <a:cs typeface="Times New Roman" panose="02020603050405020304" pitchFamily="18" charset="0"/>
            </a:rPr>
            <a:t>Medical</a:t>
          </a:r>
          <a:r>
            <a:rPr lang="en-IN" sz="900" b="1" baseline="0">
              <a:latin typeface="Segoeui"/>
              <a:cs typeface="Times New Roman" panose="02020603050405020304" pitchFamily="18" charset="0"/>
            </a:rPr>
            <a:t> Condition</a:t>
          </a:r>
          <a:endParaRPr lang="en-IN" sz="900" b="1">
            <a:latin typeface="Segoeui"/>
            <a:cs typeface="Times New Roman" panose="02020603050405020304" pitchFamily="18" charset="0"/>
          </a:endParaRPr>
        </a:p>
      </xdr:txBody>
    </xdr:sp>
    <xdr:clientData/>
  </xdr:twoCellAnchor>
  <xdr:twoCellAnchor editAs="absolute">
    <xdr:from>
      <xdr:col>13</xdr:col>
      <xdr:colOff>182880</xdr:colOff>
      <xdr:row>9</xdr:row>
      <xdr:rowOff>60960</xdr:rowOff>
    </xdr:from>
    <xdr:to>
      <xdr:col>15</xdr:col>
      <xdr:colOff>289560</xdr:colOff>
      <xdr:row>10</xdr:row>
      <xdr:rowOff>114300</xdr:rowOff>
    </xdr:to>
    <xdr:sp macro="" textlink="'Pivot Report'!A4">
      <xdr:nvSpPr>
        <xdr:cNvPr id="79" name="TextBox 78">
          <a:extLst>
            <a:ext uri="{FF2B5EF4-FFF2-40B4-BE49-F238E27FC236}">
              <a16:creationId xmlns:a16="http://schemas.microsoft.com/office/drawing/2014/main" id="{8AB4B593-5FF3-4058-BEFE-FB9D11587BD3}"/>
            </a:ext>
          </a:extLst>
        </xdr:cNvPr>
        <xdr:cNvSpPr txBox="1"/>
      </xdr:nvSpPr>
      <xdr:spPr>
        <a:xfrm flipH="1">
          <a:off x="9525000" y="1706880"/>
          <a:ext cx="13258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baseline="0">
              <a:latin typeface="Segoeui"/>
              <a:cs typeface="Times New Roman" panose="02020603050405020304" pitchFamily="18" charset="0"/>
            </a:rPr>
            <a:t>Unique Medical Condoition</a:t>
          </a:r>
          <a:endParaRPr lang="en-IN" sz="800" b="0">
            <a:latin typeface="Segoeui"/>
            <a:cs typeface="Times New Roman" panose="02020603050405020304" pitchFamily="18" charset="0"/>
          </a:endParaRPr>
        </a:p>
      </xdr:txBody>
    </xdr:sp>
    <xdr:clientData/>
  </xdr:twoCellAnchor>
  <xdr:twoCellAnchor editAs="absolute">
    <xdr:from>
      <xdr:col>10</xdr:col>
      <xdr:colOff>297180</xdr:colOff>
      <xdr:row>4</xdr:row>
      <xdr:rowOff>60960</xdr:rowOff>
    </xdr:from>
    <xdr:to>
      <xdr:col>12</xdr:col>
      <xdr:colOff>487680</xdr:colOff>
      <xdr:row>6</xdr:row>
      <xdr:rowOff>7620</xdr:rowOff>
    </xdr:to>
    <xdr:sp macro="" textlink="'Pivot Report'!A4">
      <xdr:nvSpPr>
        <xdr:cNvPr id="80" name="TextBox 79">
          <a:extLst>
            <a:ext uri="{FF2B5EF4-FFF2-40B4-BE49-F238E27FC236}">
              <a16:creationId xmlns:a16="http://schemas.microsoft.com/office/drawing/2014/main" id="{292CC36C-973E-45CA-BBEB-02E6144AC288}"/>
            </a:ext>
          </a:extLst>
        </xdr:cNvPr>
        <xdr:cNvSpPr txBox="1"/>
      </xdr:nvSpPr>
      <xdr:spPr>
        <a:xfrm flipH="1">
          <a:off x="7810500" y="792480"/>
          <a:ext cx="14097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Segoeui"/>
              <a:cs typeface="Times New Roman" panose="02020603050405020304" pitchFamily="18" charset="0"/>
            </a:rPr>
            <a:t>Average Length Of</a:t>
          </a:r>
          <a:r>
            <a:rPr lang="en-IN" sz="900" b="1" baseline="0">
              <a:latin typeface="Segoeui"/>
              <a:cs typeface="Times New Roman" panose="02020603050405020304" pitchFamily="18" charset="0"/>
            </a:rPr>
            <a:t> Stay</a:t>
          </a:r>
          <a:endParaRPr lang="en-IN" sz="900" b="1">
            <a:latin typeface="Segoeui"/>
            <a:cs typeface="Times New Roman" panose="02020603050405020304" pitchFamily="18" charset="0"/>
          </a:endParaRPr>
        </a:p>
      </xdr:txBody>
    </xdr:sp>
    <xdr:clientData/>
  </xdr:twoCellAnchor>
  <xdr:twoCellAnchor editAs="absolute">
    <xdr:from>
      <xdr:col>10</xdr:col>
      <xdr:colOff>381000</xdr:colOff>
      <xdr:row>9</xdr:row>
      <xdr:rowOff>68580</xdr:rowOff>
    </xdr:from>
    <xdr:to>
      <xdr:col>12</xdr:col>
      <xdr:colOff>487680</xdr:colOff>
      <xdr:row>10</xdr:row>
      <xdr:rowOff>121920</xdr:rowOff>
    </xdr:to>
    <xdr:sp macro="" textlink="'Pivot Report'!A4">
      <xdr:nvSpPr>
        <xdr:cNvPr id="82" name="TextBox 81">
          <a:extLst>
            <a:ext uri="{FF2B5EF4-FFF2-40B4-BE49-F238E27FC236}">
              <a16:creationId xmlns:a16="http://schemas.microsoft.com/office/drawing/2014/main" id="{BA88DF62-D389-4DFD-BEF3-95FC25B54822}"/>
            </a:ext>
          </a:extLst>
        </xdr:cNvPr>
        <xdr:cNvSpPr txBox="1"/>
      </xdr:nvSpPr>
      <xdr:spPr>
        <a:xfrm flipH="1">
          <a:off x="7894320" y="1714500"/>
          <a:ext cx="13258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baseline="0">
              <a:latin typeface="Segoeui"/>
              <a:cs typeface="Times New Roman" panose="02020603050405020304" pitchFamily="18" charset="0"/>
            </a:rPr>
            <a:t>Average Of Length Stay</a:t>
          </a:r>
          <a:endParaRPr lang="en-IN" sz="800" b="0">
            <a:latin typeface="Segoeui"/>
            <a:cs typeface="Times New Roman" panose="02020603050405020304" pitchFamily="18" charset="0"/>
          </a:endParaRPr>
        </a:p>
      </xdr:txBody>
    </xdr:sp>
    <xdr:clientData/>
  </xdr:twoCellAnchor>
  <xdr:twoCellAnchor>
    <xdr:from>
      <xdr:col>7</xdr:col>
      <xdr:colOff>510540</xdr:colOff>
      <xdr:row>4</xdr:row>
      <xdr:rowOff>60960</xdr:rowOff>
    </xdr:from>
    <xdr:to>
      <xdr:col>10</xdr:col>
      <xdr:colOff>15240</xdr:colOff>
      <xdr:row>6</xdr:row>
      <xdr:rowOff>22860</xdr:rowOff>
    </xdr:to>
    <xdr:sp macro="" textlink="'Pivot Report'!A4">
      <xdr:nvSpPr>
        <xdr:cNvPr id="83" name="TextBox 82">
          <a:extLst>
            <a:ext uri="{FF2B5EF4-FFF2-40B4-BE49-F238E27FC236}">
              <a16:creationId xmlns:a16="http://schemas.microsoft.com/office/drawing/2014/main" id="{09C13D3C-407D-47D4-9DCD-0C93D3EECC2E}"/>
            </a:ext>
          </a:extLst>
        </xdr:cNvPr>
        <xdr:cNvSpPr txBox="1"/>
      </xdr:nvSpPr>
      <xdr:spPr>
        <a:xfrm flipH="1">
          <a:off x="6195060" y="792480"/>
          <a:ext cx="13335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baseline="0">
              <a:latin typeface="Segoeui"/>
              <a:cs typeface="Times New Roman" panose="02020603050405020304" pitchFamily="18" charset="0"/>
            </a:rPr>
            <a:t>Highest Bill Amount</a:t>
          </a:r>
          <a:endParaRPr lang="en-IN" sz="900" b="1">
            <a:latin typeface="Segoeui"/>
            <a:cs typeface="Times New Roman" panose="02020603050405020304" pitchFamily="18" charset="0"/>
          </a:endParaRPr>
        </a:p>
      </xdr:txBody>
    </xdr:sp>
    <xdr:clientData/>
  </xdr:twoCellAnchor>
  <xdr:twoCellAnchor editAs="absolute">
    <xdr:from>
      <xdr:col>14</xdr:col>
      <xdr:colOff>22860</xdr:colOff>
      <xdr:row>6</xdr:row>
      <xdr:rowOff>106680</xdr:rowOff>
    </xdr:from>
    <xdr:to>
      <xdr:col>15</xdr:col>
      <xdr:colOff>137160</xdr:colOff>
      <xdr:row>8</xdr:row>
      <xdr:rowOff>68580</xdr:rowOff>
    </xdr:to>
    <xdr:sp macro="" textlink="'Pivot Report'!A49">
      <xdr:nvSpPr>
        <xdr:cNvPr id="85" name="TextBox 84">
          <a:extLst>
            <a:ext uri="{FF2B5EF4-FFF2-40B4-BE49-F238E27FC236}">
              <a16:creationId xmlns:a16="http://schemas.microsoft.com/office/drawing/2014/main" id="{0C06EC42-E6FC-4E68-9E62-0E52895C185A}"/>
            </a:ext>
          </a:extLst>
        </xdr:cNvPr>
        <xdr:cNvSpPr txBox="1"/>
      </xdr:nvSpPr>
      <xdr:spPr>
        <a:xfrm flipH="1">
          <a:off x="9974580" y="1203960"/>
          <a:ext cx="7239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7E6DF18-8D31-4338-80B2-ED86A6DC1C7D}" type="TxLink">
            <a:rPr lang="en-US" sz="1400" b="1" i="0" u="none" strike="noStrike">
              <a:solidFill>
                <a:srgbClr val="000000"/>
              </a:solidFill>
              <a:latin typeface="Segoeui"/>
              <a:cs typeface="Times New Roman" panose="02020603050405020304" pitchFamily="18" charset="0"/>
            </a:rPr>
            <a:pPr algn="ctr"/>
            <a:t>1.00</a:t>
          </a:fld>
          <a:endParaRPr lang="en-IN" sz="1400" b="1">
            <a:latin typeface="Segoeui"/>
            <a:cs typeface="Times New Roman" panose="02020603050405020304" pitchFamily="18" charset="0"/>
          </a:endParaRPr>
        </a:p>
      </xdr:txBody>
    </xdr:sp>
    <xdr:clientData/>
  </xdr:twoCellAnchor>
  <xdr:twoCellAnchor editAs="absolute">
    <xdr:from>
      <xdr:col>7</xdr:col>
      <xdr:colOff>563880</xdr:colOff>
      <xdr:row>9</xdr:row>
      <xdr:rowOff>99060</xdr:rowOff>
    </xdr:from>
    <xdr:to>
      <xdr:col>10</xdr:col>
      <xdr:colOff>60960</xdr:colOff>
      <xdr:row>10</xdr:row>
      <xdr:rowOff>152400</xdr:rowOff>
    </xdr:to>
    <xdr:sp macro="" textlink="'Pivot Report'!A4">
      <xdr:nvSpPr>
        <xdr:cNvPr id="86" name="TextBox 85">
          <a:extLst>
            <a:ext uri="{FF2B5EF4-FFF2-40B4-BE49-F238E27FC236}">
              <a16:creationId xmlns:a16="http://schemas.microsoft.com/office/drawing/2014/main" id="{BC5EBD66-AA0D-45E7-8CC6-CD62A6594AA5}"/>
            </a:ext>
          </a:extLst>
        </xdr:cNvPr>
        <xdr:cNvSpPr txBox="1"/>
      </xdr:nvSpPr>
      <xdr:spPr>
        <a:xfrm flipH="1">
          <a:off x="6248400" y="1744980"/>
          <a:ext cx="13258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baseline="0">
              <a:latin typeface="Segoeui"/>
              <a:cs typeface="Times New Roman" panose="02020603050405020304" pitchFamily="18" charset="0"/>
            </a:rPr>
            <a:t>Max Of Bill Amount</a:t>
          </a:r>
          <a:endParaRPr lang="en-IN" sz="800" b="0">
            <a:latin typeface="Segoeui"/>
            <a:cs typeface="Times New Roman" panose="02020603050405020304" pitchFamily="18" charset="0"/>
          </a:endParaRPr>
        </a:p>
      </xdr:txBody>
    </xdr:sp>
    <xdr:clientData/>
  </xdr:twoCellAnchor>
  <xdr:twoCellAnchor editAs="absolute">
    <xdr:from>
      <xdr:col>15</xdr:col>
      <xdr:colOff>594360</xdr:colOff>
      <xdr:row>4</xdr:row>
      <xdr:rowOff>68580</xdr:rowOff>
    </xdr:from>
    <xdr:to>
      <xdr:col>18</xdr:col>
      <xdr:colOff>252420</xdr:colOff>
      <xdr:row>6</xdr:row>
      <xdr:rowOff>15240</xdr:rowOff>
    </xdr:to>
    <xdr:sp macro="" textlink="'Pivot Report'!A4">
      <xdr:nvSpPr>
        <xdr:cNvPr id="87" name="TextBox 86">
          <a:extLst>
            <a:ext uri="{FF2B5EF4-FFF2-40B4-BE49-F238E27FC236}">
              <a16:creationId xmlns:a16="http://schemas.microsoft.com/office/drawing/2014/main" id="{2C9D1F56-D86B-456B-BA58-0D9D64FB8398}"/>
            </a:ext>
          </a:extLst>
        </xdr:cNvPr>
        <xdr:cNvSpPr txBox="1"/>
      </xdr:nvSpPr>
      <xdr:spPr>
        <a:xfrm flipH="1">
          <a:off x="11155680" y="800100"/>
          <a:ext cx="14868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Segoeui"/>
              <a:cs typeface="Times New Roman" panose="02020603050405020304" pitchFamily="18" charset="0"/>
            </a:rPr>
            <a:t>Unique</a:t>
          </a:r>
          <a:r>
            <a:rPr lang="en-IN" sz="900" b="1" baseline="0">
              <a:latin typeface="Segoeui"/>
              <a:cs typeface="Times New Roman" panose="02020603050405020304" pitchFamily="18" charset="0"/>
            </a:rPr>
            <a:t> Treatment Type</a:t>
          </a:r>
          <a:endParaRPr lang="en-IN" sz="900" b="1">
            <a:latin typeface="Segoeui"/>
            <a:cs typeface="Times New Roman" panose="02020603050405020304" pitchFamily="18" charset="0"/>
          </a:endParaRPr>
        </a:p>
      </xdr:txBody>
    </xdr:sp>
    <xdr:clientData/>
  </xdr:twoCellAnchor>
  <xdr:twoCellAnchor>
    <xdr:from>
      <xdr:col>18</xdr:col>
      <xdr:colOff>83820</xdr:colOff>
      <xdr:row>9</xdr:row>
      <xdr:rowOff>121920</xdr:rowOff>
    </xdr:from>
    <xdr:to>
      <xdr:col>20</xdr:col>
      <xdr:colOff>190500</xdr:colOff>
      <xdr:row>10</xdr:row>
      <xdr:rowOff>175260</xdr:rowOff>
    </xdr:to>
    <xdr:sp macro="" textlink="'Pivot Report'!A4">
      <xdr:nvSpPr>
        <xdr:cNvPr id="90" name="TextBox 89" hidden="1">
          <a:extLst>
            <a:ext uri="{FF2B5EF4-FFF2-40B4-BE49-F238E27FC236}">
              <a16:creationId xmlns:a16="http://schemas.microsoft.com/office/drawing/2014/main" id="{8E09F813-21F5-4F2F-9832-B46CC7AD7480}"/>
            </a:ext>
          </a:extLst>
        </xdr:cNvPr>
        <xdr:cNvSpPr txBox="1"/>
      </xdr:nvSpPr>
      <xdr:spPr>
        <a:xfrm flipH="1">
          <a:off x="11056620" y="1767840"/>
          <a:ext cx="13258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baseline="0">
              <a:latin typeface="Segoeui"/>
              <a:cs typeface="Times New Roman" panose="02020603050405020304" pitchFamily="18" charset="0"/>
            </a:rPr>
            <a:t>Distinct Count</a:t>
          </a:r>
          <a:endParaRPr lang="en-IN" sz="900" b="0">
            <a:latin typeface="Segoeui"/>
            <a:cs typeface="Times New Roman" panose="02020603050405020304" pitchFamily="18" charset="0"/>
          </a:endParaRPr>
        </a:p>
      </xdr:txBody>
    </xdr:sp>
    <xdr:clientData/>
  </xdr:twoCellAnchor>
  <xdr:twoCellAnchor editAs="absolute">
    <xdr:from>
      <xdr:col>17</xdr:col>
      <xdr:colOff>38100</xdr:colOff>
      <xdr:row>6</xdr:row>
      <xdr:rowOff>121920</xdr:rowOff>
    </xdr:from>
    <xdr:to>
      <xdr:col>18</xdr:col>
      <xdr:colOff>152400</xdr:colOff>
      <xdr:row>8</xdr:row>
      <xdr:rowOff>83820</xdr:rowOff>
    </xdr:to>
    <xdr:sp macro="" textlink="'Pivot Report'!A55">
      <xdr:nvSpPr>
        <xdr:cNvPr id="91" name="TextBox 90">
          <a:extLst>
            <a:ext uri="{FF2B5EF4-FFF2-40B4-BE49-F238E27FC236}">
              <a16:creationId xmlns:a16="http://schemas.microsoft.com/office/drawing/2014/main" id="{5DEC9497-CDC0-4972-A1DE-126C28825F1C}"/>
            </a:ext>
          </a:extLst>
        </xdr:cNvPr>
        <xdr:cNvSpPr txBox="1"/>
      </xdr:nvSpPr>
      <xdr:spPr>
        <a:xfrm flipH="1">
          <a:off x="11818620" y="1219200"/>
          <a:ext cx="7239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DE24737-022C-45CC-AC69-D5B8314D3BEF}" type="TxLink">
            <a:rPr lang="en-US" sz="1400" b="1" i="0" u="none" strike="noStrike">
              <a:solidFill>
                <a:srgbClr val="000000"/>
              </a:solidFill>
              <a:latin typeface="Segoeui"/>
              <a:cs typeface="Times New Roman" panose="02020603050405020304" pitchFamily="18" charset="0"/>
            </a:rPr>
            <a:pPr algn="ctr"/>
            <a:t>1.00</a:t>
          </a:fld>
          <a:endParaRPr lang="en-IN" sz="1400" b="1">
            <a:latin typeface="Segoeui"/>
            <a:cs typeface="Times New Roman" panose="02020603050405020304" pitchFamily="18" charset="0"/>
          </a:endParaRPr>
        </a:p>
      </xdr:txBody>
    </xdr:sp>
    <xdr:clientData/>
  </xdr:twoCellAnchor>
  <xdr:twoCellAnchor>
    <xdr:from>
      <xdr:col>9</xdr:col>
      <xdr:colOff>144780</xdr:colOff>
      <xdr:row>36</xdr:row>
      <xdr:rowOff>129540</xdr:rowOff>
    </xdr:from>
    <xdr:to>
      <xdr:col>11</xdr:col>
      <xdr:colOff>579120</xdr:colOff>
      <xdr:row>45</xdr:row>
      <xdr:rowOff>15240</xdr:rowOff>
    </xdr:to>
    <xdr:graphicFrame macro="">
      <xdr:nvGraphicFramePr>
        <xdr:cNvPr id="92" name="Chart 91" hidden="1">
          <a:extLst>
            <a:ext uri="{FF2B5EF4-FFF2-40B4-BE49-F238E27FC236}">
              <a16:creationId xmlns:a16="http://schemas.microsoft.com/office/drawing/2014/main" id="{D39A01B8-AB90-48E1-A9DA-CDCD2541C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137160</xdr:colOff>
      <xdr:row>13</xdr:row>
      <xdr:rowOff>0</xdr:rowOff>
    </xdr:from>
    <xdr:to>
      <xdr:col>6</xdr:col>
      <xdr:colOff>464820</xdr:colOff>
      <xdr:row>27</xdr:row>
      <xdr:rowOff>0</xdr:rowOff>
    </xdr:to>
    <xdr:graphicFrame macro="">
      <xdr:nvGraphicFramePr>
        <xdr:cNvPr id="94" name="Chart 93" hidden="1">
          <a:extLst>
            <a:ext uri="{FF2B5EF4-FFF2-40B4-BE49-F238E27FC236}">
              <a16:creationId xmlns:a16="http://schemas.microsoft.com/office/drawing/2014/main" id="{ADB1DBE2-B639-4A49-83CC-4C5503482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10</xdr:col>
      <xdr:colOff>106680</xdr:colOff>
      <xdr:row>12</xdr:row>
      <xdr:rowOff>0</xdr:rowOff>
    </xdr:from>
    <xdr:to>
      <xdr:col>15</xdr:col>
      <xdr:colOff>248280</xdr:colOff>
      <xdr:row>27</xdr:row>
      <xdr:rowOff>136800</xdr:rowOff>
    </xdr:to>
    <xdr:sp macro="" textlink="">
      <xdr:nvSpPr>
        <xdr:cNvPr id="95" name="Rectangle: Rounded Corners 94">
          <a:extLst>
            <a:ext uri="{FF2B5EF4-FFF2-40B4-BE49-F238E27FC236}">
              <a16:creationId xmlns:a16="http://schemas.microsoft.com/office/drawing/2014/main" id="{8E00783D-7B86-42A7-A873-2B7DEB2FEFE8}"/>
            </a:ext>
          </a:extLst>
        </xdr:cNvPr>
        <xdr:cNvSpPr/>
      </xdr:nvSpPr>
      <xdr:spPr>
        <a:xfrm>
          <a:off x="7620000" y="2194560"/>
          <a:ext cx="3189600" cy="288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15</xdr:col>
      <xdr:colOff>365760</xdr:colOff>
      <xdr:row>12</xdr:row>
      <xdr:rowOff>0</xdr:rowOff>
    </xdr:from>
    <xdr:to>
      <xdr:col>21</xdr:col>
      <xdr:colOff>53340</xdr:colOff>
      <xdr:row>27</xdr:row>
      <xdr:rowOff>136800</xdr:rowOff>
    </xdr:to>
    <xdr:sp macro="" textlink="">
      <xdr:nvSpPr>
        <xdr:cNvPr id="96" name="Rectangle: Rounded Corners 95">
          <a:extLst>
            <a:ext uri="{FF2B5EF4-FFF2-40B4-BE49-F238E27FC236}">
              <a16:creationId xmlns:a16="http://schemas.microsoft.com/office/drawing/2014/main" id="{D2BE1C46-6AFF-4AF1-9C59-D44C0E25C479}"/>
            </a:ext>
          </a:extLst>
        </xdr:cNvPr>
        <xdr:cNvSpPr/>
      </xdr:nvSpPr>
      <xdr:spPr>
        <a:xfrm>
          <a:off x="10927080" y="2194560"/>
          <a:ext cx="3345180" cy="288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18</xdr:col>
      <xdr:colOff>282900</xdr:colOff>
      <xdr:row>4</xdr:row>
      <xdr:rowOff>36840</xdr:rowOff>
    </xdr:from>
    <xdr:to>
      <xdr:col>21</xdr:col>
      <xdr:colOff>45300</xdr:colOff>
      <xdr:row>11</xdr:row>
      <xdr:rowOff>106680</xdr:rowOff>
    </xdr:to>
    <xdr:sp macro="" textlink="">
      <xdr:nvSpPr>
        <xdr:cNvPr id="97" name="Rectangle: Rounded Corners 96">
          <a:extLst>
            <a:ext uri="{FF2B5EF4-FFF2-40B4-BE49-F238E27FC236}">
              <a16:creationId xmlns:a16="http://schemas.microsoft.com/office/drawing/2014/main" id="{F4155635-F82E-4112-AF05-CA22AC185696}"/>
            </a:ext>
          </a:extLst>
        </xdr:cNvPr>
        <xdr:cNvSpPr/>
      </xdr:nvSpPr>
      <xdr:spPr>
        <a:xfrm>
          <a:off x="12673020" y="768360"/>
          <a:ext cx="1591200" cy="135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solidFill>
              <a:schemeClr val="bg2"/>
            </a:solidFill>
          </a:endParaRPr>
        </a:p>
      </xdr:txBody>
    </xdr:sp>
    <xdr:clientData/>
  </xdr:twoCellAnchor>
  <xdr:twoCellAnchor editAs="absolute">
    <xdr:from>
      <xdr:col>18</xdr:col>
      <xdr:colOff>298140</xdr:colOff>
      <xdr:row>4</xdr:row>
      <xdr:rowOff>83820</xdr:rowOff>
    </xdr:from>
    <xdr:to>
      <xdr:col>20</xdr:col>
      <xdr:colOff>565800</xdr:colOff>
      <xdr:row>6</xdr:row>
      <xdr:rowOff>30480</xdr:rowOff>
    </xdr:to>
    <xdr:sp macro="" textlink="'Pivot Report'!A4">
      <xdr:nvSpPr>
        <xdr:cNvPr id="98" name="TextBox 97">
          <a:extLst>
            <a:ext uri="{FF2B5EF4-FFF2-40B4-BE49-F238E27FC236}">
              <a16:creationId xmlns:a16="http://schemas.microsoft.com/office/drawing/2014/main" id="{BA48AC5F-3C00-483C-B34D-79A751E16BAA}"/>
            </a:ext>
          </a:extLst>
        </xdr:cNvPr>
        <xdr:cNvSpPr txBox="1"/>
      </xdr:nvSpPr>
      <xdr:spPr>
        <a:xfrm flipH="1">
          <a:off x="12688260" y="815340"/>
          <a:ext cx="14868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Segoeui"/>
              <a:cs typeface="Times New Roman" panose="02020603050405020304" pitchFamily="18" charset="0"/>
            </a:rPr>
            <a:t>Average</a:t>
          </a:r>
          <a:r>
            <a:rPr lang="en-IN" sz="900" b="1" baseline="0">
              <a:latin typeface="Segoeui"/>
              <a:cs typeface="Times New Roman" panose="02020603050405020304" pitchFamily="18" charset="0"/>
            </a:rPr>
            <a:t> Patient Age</a:t>
          </a:r>
          <a:endParaRPr lang="en-IN" sz="900" b="1">
            <a:latin typeface="Segoeui"/>
            <a:cs typeface="Times New Roman" panose="02020603050405020304" pitchFamily="18" charset="0"/>
          </a:endParaRPr>
        </a:p>
      </xdr:txBody>
    </xdr:sp>
    <xdr:clientData/>
  </xdr:twoCellAnchor>
  <xdr:twoCellAnchor>
    <xdr:from>
      <xdr:col>7</xdr:col>
      <xdr:colOff>190500</xdr:colOff>
      <xdr:row>13</xdr:row>
      <xdr:rowOff>0</xdr:rowOff>
    </xdr:from>
    <xdr:to>
      <xdr:col>12</xdr:col>
      <xdr:colOff>129540</xdr:colOff>
      <xdr:row>26</xdr:row>
      <xdr:rowOff>0</xdr:rowOff>
    </xdr:to>
    <xdr:graphicFrame macro="">
      <xdr:nvGraphicFramePr>
        <xdr:cNvPr id="99" name="Chart 98" hidden="1">
          <a:extLst>
            <a:ext uri="{FF2B5EF4-FFF2-40B4-BE49-F238E27FC236}">
              <a16:creationId xmlns:a16="http://schemas.microsoft.com/office/drawing/2014/main" id="{DE4ED1AD-669E-455C-A232-AE7D08844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457200</xdr:colOff>
      <xdr:row>12</xdr:row>
      <xdr:rowOff>38100</xdr:rowOff>
    </xdr:from>
    <xdr:to>
      <xdr:col>17</xdr:col>
      <xdr:colOff>335280</xdr:colOff>
      <xdr:row>26</xdr:row>
      <xdr:rowOff>175260</xdr:rowOff>
    </xdr:to>
    <xdr:graphicFrame macro="">
      <xdr:nvGraphicFramePr>
        <xdr:cNvPr id="100" name="Chart 99" hidden="1">
          <a:extLst>
            <a:ext uri="{FF2B5EF4-FFF2-40B4-BE49-F238E27FC236}">
              <a16:creationId xmlns:a16="http://schemas.microsoft.com/office/drawing/2014/main" id="{1DBB994D-849C-4A72-B1A1-36D07CB42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563880</xdr:colOff>
      <xdr:row>12</xdr:row>
      <xdr:rowOff>99060</xdr:rowOff>
    </xdr:from>
    <xdr:to>
      <xdr:col>20</xdr:col>
      <xdr:colOff>373380</xdr:colOff>
      <xdr:row>27</xdr:row>
      <xdr:rowOff>30480</xdr:rowOff>
    </xdr:to>
    <xdr:graphicFrame macro="">
      <xdr:nvGraphicFramePr>
        <xdr:cNvPr id="101" name="Chart 100">
          <a:extLst>
            <a:ext uri="{FF2B5EF4-FFF2-40B4-BE49-F238E27FC236}">
              <a16:creationId xmlns:a16="http://schemas.microsoft.com/office/drawing/2014/main" id="{7369C2BE-AAB4-4A7B-B03B-CC031F93C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0</xdr:col>
      <xdr:colOff>1219200</xdr:colOff>
      <xdr:row>28</xdr:row>
      <xdr:rowOff>30480</xdr:rowOff>
    </xdr:from>
    <xdr:to>
      <xdr:col>4</xdr:col>
      <xdr:colOff>480060</xdr:colOff>
      <xdr:row>43</xdr:row>
      <xdr:rowOff>175260</xdr:rowOff>
    </xdr:to>
    <xdr:sp macro="" textlink="">
      <xdr:nvSpPr>
        <xdr:cNvPr id="102" name="Rectangle: Rounded Corners 101">
          <a:extLst>
            <a:ext uri="{FF2B5EF4-FFF2-40B4-BE49-F238E27FC236}">
              <a16:creationId xmlns:a16="http://schemas.microsoft.com/office/drawing/2014/main" id="{8FABAC94-C28B-4C5C-993F-FA8CE4606F79}"/>
            </a:ext>
          </a:extLst>
        </xdr:cNvPr>
        <xdr:cNvSpPr/>
      </xdr:nvSpPr>
      <xdr:spPr>
        <a:xfrm>
          <a:off x="1219200" y="5151120"/>
          <a:ext cx="3116580" cy="28803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4</xdr:col>
      <xdr:colOff>557220</xdr:colOff>
      <xdr:row>28</xdr:row>
      <xdr:rowOff>30480</xdr:rowOff>
    </xdr:from>
    <xdr:to>
      <xdr:col>10</xdr:col>
      <xdr:colOff>16200</xdr:colOff>
      <xdr:row>43</xdr:row>
      <xdr:rowOff>175260</xdr:rowOff>
    </xdr:to>
    <xdr:sp macro="" textlink="">
      <xdr:nvSpPr>
        <xdr:cNvPr id="103" name="Rectangle: Rounded Corners 102">
          <a:extLst>
            <a:ext uri="{FF2B5EF4-FFF2-40B4-BE49-F238E27FC236}">
              <a16:creationId xmlns:a16="http://schemas.microsoft.com/office/drawing/2014/main" id="{B24B2676-A69E-4DDA-B943-2B2EEA4B8EFA}"/>
            </a:ext>
          </a:extLst>
        </xdr:cNvPr>
        <xdr:cNvSpPr/>
      </xdr:nvSpPr>
      <xdr:spPr>
        <a:xfrm>
          <a:off x="4412940" y="5151120"/>
          <a:ext cx="3116580" cy="28803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10</xdr:col>
      <xdr:colOff>91440</xdr:colOff>
      <xdr:row>28</xdr:row>
      <xdr:rowOff>0</xdr:rowOff>
    </xdr:from>
    <xdr:to>
      <xdr:col>15</xdr:col>
      <xdr:colOff>266700</xdr:colOff>
      <xdr:row>43</xdr:row>
      <xdr:rowOff>144780</xdr:rowOff>
    </xdr:to>
    <xdr:sp macro="" textlink="">
      <xdr:nvSpPr>
        <xdr:cNvPr id="104" name="Rectangle: Rounded Corners 103">
          <a:extLst>
            <a:ext uri="{FF2B5EF4-FFF2-40B4-BE49-F238E27FC236}">
              <a16:creationId xmlns:a16="http://schemas.microsoft.com/office/drawing/2014/main" id="{2390AB35-74A3-47FF-BBB0-F36B1B2AE874}"/>
            </a:ext>
          </a:extLst>
        </xdr:cNvPr>
        <xdr:cNvSpPr/>
      </xdr:nvSpPr>
      <xdr:spPr>
        <a:xfrm>
          <a:off x="7604760" y="5120640"/>
          <a:ext cx="3223260" cy="28803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15</xdr:col>
      <xdr:colOff>335280</xdr:colOff>
      <xdr:row>28</xdr:row>
      <xdr:rowOff>38100</xdr:rowOff>
    </xdr:from>
    <xdr:to>
      <xdr:col>21</xdr:col>
      <xdr:colOff>15240</xdr:colOff>
      <xdr:row>44</xdr:row>
      <xdr:rowOff>0</xdr:rowOff>
    </xdr:to>
    <xdr:sp macro="" textlink="">
      <xdr:nvSpPr>
        <xdr:cNvPr id="105" name="Rectangle: Rounded Corners 104">
          <a:extLst>
            <a:ext uri="{FF2B5EF4-FFF2-40B4-BE49-F238E27FC236}">
              <a16:creationId xmlns:a16="http://schemas.microsoft.com/office/drawing/2014/main" id="{A0433DC5-A7CA-416F-B67B-9241346CBBE9}"/>
            </a:ext>
          </a:extLst>
        </xdr:cNvPr>
        <xdr:cNvSpPr/>
      </xdr:nvSpPr>
      <xdr:spPr>
        <a:xfrm>
          <a:off x="10896600" y="5158740"/>
          <a:ext cx="3337560" cy="288036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a:p>
      </xdr:txBody>
    </xdr:sp>
    <xdr:clientData/>
  </xdr:twoCellAnchor>
  <xdr:twoCellAnchor>
    <xdr:from>
      <xdr:col>1</xdr:col>
      <xdr:colOff>83820</xdr:colOff>
      <xdr:row>29</xdr:row>
      <xdr:rowOff>0</xdr:rowOff>
    </xdr:from>
    <xdr:to>
      <xdr:col>4</xdr:col>
      <xdr:colOff>266700</xdr:colOff>
      <xdr:row>43</xdr:row>
      <xdr:rowOff>53340</xdr:rowOff>
    </xdr:to>
    <xdr:graphicFrame macro="">
      <xdr:nvGraphicFramePr>
        <xdr:cNvPr id="106" name="Chart 105">
          <a:extLst>
            <a:ext uri="{FF2B5EF4-FFF2-40B4-BE49-F238E27FC236}">
              <a16:creationId xmlns:a16="http://schemas.microsoft.com/office/drawing/2014/main" id="{18252286-40D0-4A8F-8542-0AED555C5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121920</xdr:colOff>
      <xdr:row>29</xdr:row>
      <xdr:rowOff>0</xdr:rowOff>
    </xdr:from>
    <xdr:to>
      <xdr:col>9</xdr:col>
      <xdr:colOff>441960</xdr:colOff>
      <xdr:row>43</xdr:row>
      <xdr:rowOff>7620</xdr:rowOff>
    </xdr:to>
    <xdr:graphicFrame macro="">
      <xdr:nvGraphicFramePr>
        <xdr:cNvPr id="107" name="Chart 106">
          <a:extLst>
            <a:ext uri="{FF2B5EF4-FFF2-40B4-BE49-F238E27FC236}">
              <a16:creationId xmlns:a16="http://schemas.microsoft.com/office/drawing/2014/main" id="{8B7328C3-3FB0-4624-A3E9-501EF4031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457200</xdr:colOff>
      <xdr:row>28</xdr:row>
      <xdr:rowOff>45720</xdr:rowOff>
    </xdr:from>
    <xdr:to>
      <xdr:col>17</xdr:col>
      <xdr:colOff>198120</xdr:colOff>
      <xdr:row>43</xdr:row>
      <xdr:rowOff>7620</xdr:rowOff>
    </xdr:to>
    <xdr:graphicFrame macro="">
      <xdr:nvGraphicFramePr>
        <xdr:cNvPr id="108" name="Chart 107" hidden="1">
          <a:extLst>
            <a:ext uri="{FF2B5EF4-FFF2-40B4-BE49-F238E27FC236}">
              <a16:creationId xmlns:a16="http://schemas.microsoft.com/office/drawing/2014/main" id="{D705484A-B097-4944-B5BC-51654BC98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22860</xdr:colOff>
      <xdr:row>45</xdr:row>
      <xdr:rowOff>0</xdr:rowOff>
    </xdr:from>
    <xdr:to>
      <xdr:col>2</xdr:col>
      <xdr:colOff>655320</xdr:colOff>
      <xdr:row>52</xdr:row>
      <xdr:rowOff>152400</xdr:rowOff>
    </xdr:to>
    <xdr:pic>
      <xdr:nvPicPr>
        <xdr:cNvPr id="19" name="Picture 18" hidden="1">
          <a:extLst>
            <a:ext uri="{FF2B5EF4-FFF2-40B4-BE49-F238E27FC236}">
              <a16:creationId xmlns:a16="http://schemas.microsoft.com/office/drawing/2014/main" id="{5BF6C5A3-DB2E-E14B-E767-E916539CA555}"/>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2860" y="8252460"/>
          <a:ext cx="2407920" cy="1432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45</xdr:row>
      <xdr:rowOff>0</xdr:rowOff>
    </xdr:from>
    <xdr:to>
      <xdr:col>15</xdr:col>
      <xdr:colOff>304800</xdr:colOff>
      <xdr:row>60</xdr:row>
      <xdr:rowOff>15240</xdr:rowOff>
    </xdr:to>
    <xdr:sp macro="" textlink="">
      <xdr:nvSpPr>
        <xdr:cNvPr id="20" name="Rectangle 19">
          <a:extLst>
            <a:ext uri="{FF2B5EF4-FFF2-40B4-BE49-F238E27FC236}">
              <a16:creationId xmlns:a16="http://schemas.microsoft.com/office/drawing/2014/main" id="{8A6C215C-51B9-FC90-088B-8A0CC1788DC5}"/>
            </a:ext>
          </a:extLst>
        </xdr:cNvPr>
        <xdr:cNvSpPr/>
      </xdr:nvSpPr>
      <xdr:spPr>
        <a:xfrm>
          <a:off x="0" y="8221980"/>
          <a:ext cx="10866120" cy="275844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525780</xdr:colOff>
      <xdr:row>45</xdr:row>
      <xdr:rowOff>0</xdr:rowOff>
    </xdr:from>
    <xdr:to>
      <xdr:col>7</xdr:col>
      <xdr:colOff>502920</xdr:colOff>
      <xdr:row>52</xdr:row>
      <xdr:rowOff>137160</xdr:rowOff>
    </xdr:to>
    <xdr:pic>
      <xdr:nvPicPr>
        <xdr:cNvPr id="23" name="Picture 22" hidden="1">
          <a:extLst>
            <a:ext uri="{FF2B5EF4-FFF2-40B4-BE49-F238E27FC236}">
              <a16:creationId xmlns:a16="http://schemas.microsoft.com/office/drawing/2014/main" id="{CE692980-1CC5-3780-60C8-F3772373072A}"/>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2453640" y="8260080"/>
          <a:ext cx="2415540" cy="1417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22860</xdr:colOff>
      <xdr:row>12</xdr:row>
      <xdr:rowOff>152400</xdr:rowOff>
    </xdr:from>
    <xdr:to>
      <xdr:col>6</xdr:col>
      <xdr:colOff>396240</xdr:colOff>
      <xdr:row>27</xdr:row>
      <xdr:rowOff>91440</xdr:rowOff>
    </xdr:to>
    <xdr:graphicFrame macro="">
      <xdr:nvGraphicFramePr>
        <xdr:cNvPr id="9" name="Chart 8" hidden="1">
          <a:extLst>
            <a:ext uri="{FF2B5EF4-FFF2-40B4-BE49-F238E27FC236}">
              <a16:creationId xmlns:a16="http://schemas.microsoft.com/office/drawing/2014/main" id="{58E11D0B-8CFC-4B9C-ADEF-7E6408B99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160020</xdr:colOff>
      <xdr:row>12</xdr:row>
      <xdr:rowOff>129540</xdr:rowOff>
    </xdr:from>
    <xdr:to>
      <xdr:col>9</xdr:col>
      <xdr:colOff>396240</xdr:colOff>
      <xdr:row>27</xdr:row>
      <xdr:rowOff>38100</xdr:rowOff>
    </xdr:to>
    <xdr:graphicFrame macro="">
      <xdr:nvGraphicFramePr>
        <xdr:cNvPr id="10" name="Chart 9">
          <a:extLst>
            <a:ext uri="{FF2B5EF4-FFF2-40B4-BE49-F238E27FC236}">
              <a16:creationId xmlns:a16="http://schemas.microsoft.com/office/drawing/2014/main" id="{27D3B18F-DFE0-435F-8EE6-83855E2CD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304800</xdr:colOff>
      <xdr:row>12</xdr:row>
      <xdr:rowOff>121920</xdr:rowOff>
    </xdr:from>
    <xdr:to>
      <xdr:col>15</xdr:col>
      <xdr:colOff>106680</xdr:colOff>
      <xdr:row>27</xdr:row>
      <xdr:rowOff>15240</xdr:rowOff>
    </xdr:to>
    <xdr:graphicFrame macro="">
      <xdr:nvGraphicFramePr>
        <xdr:cNvPr id="13" name="Chart 12">
          <a:extLst>
            <a:ext uri="{FF2B5EF4-FFF2-40B4-BE49-F238E27FC236}">
              <a16:creationId xmlns:a16="http://schemas.microsoft.com/office/drawing/2014/main" id="{2CC90273-538C-4310-8CE6-54BD926A1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10</xdr:col>
      <xdr:colOff>342900</xdr:colOff>
      <xdr:row>28</xdr:row>
      <xdr:rowOff>83820</xdr:rowOff>
    </xdr:from>
    <xdr:to>
      <xdr:col>15</xdr:col>
      <xdr:colOff>68580</xdr:colOff>
      <xdr:row>43</xdr:row>
      <xdr:rowOff>7620</xdr:rowOff>
    </xdr:to>
    <xdr:graphicFrame macro="">
      <xdr:nvGraphicFramePr>
        <xdr:cNvPr id="14" name="Chart 13">
          <a:extLst>
            <a:ext uri="{FF2B5EF4-FFF2-40B4-BE49-F238E27FC236}">
              <a16:creationId xmlns:a16="http://schemas.microsoft.com/office/drawing/2014/main" id="{7BC51053-62E0-454A-81B5-1D10EC11F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xdr:col>
      <xdr:colOff>411480</xdr:colOff>
      <xdr:row>45</xdr:row>
      <xdr:rowOff>0</xdr:rowOff>
    </xdr:from>
    <xdr:to>
      <xdr:col>7</xdr:col>
      <xdr:colOff>144780</xdr:colOff>
      <xdr:row>53</xdr:row>
      <xdr:rowOff>106680</xdr:rowOff>
    </xdr:to>
    <xdr:sp macro="" textlink="">
      <xdr:nvSpPr>
        <xdr:cNvPr id="27" name="Rectangle 26">
          <a:extLst>
            <a:ext uri="{FF2B5EF4-FFF2-40B4-BE49-F238E27FC236}">
              <a16:creationId xmlns:a16="http://schemas.microsoft.com/office/drawing/2014/main" id="{57511760-509A-6BC0-3B28-8AD744DD9F8E}"/>
            </a:ext>
          </a:extLst>
        </xdr:cNvPr>
        <xdr:cNvSpPr/>
      </xdr:nvSpPr>
      <xdr:spPr>
        <a:xfrm>
          <a:off x="2339340" y="8275320"/>
          <a:ext cx="2171700" cy="169926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53340</xdr:colOff>
      <xdr:row>6</xdr:row>
      <xdr:rowOff>45721</xdr:rowOff>
    </xdr:from>
    <xdr:to>
      <xdr:col>0</xdr:col>
      <xdr:colOff>1097280</xdr:colOff>
      <xdr:row>13</xdr:row>
      <xdr:rowOff>106680</xdr:rowOff>
    </xdr:to>
    <mc:AlternateContent xmlns:mc="http://schemas.openxmlformats.org/markup-compatibility/2006" xmlns:a14="http://schemas.microsoft.com/office/drawing/2010/main">
      <mc:Choice Requires="a14">
        <xdr:graphicFrame macro="">
          <xdr:nvGraphicFramePr>
            <xdr:cNvPr id="32" name="Admit Year">
              <a:extLst>
                <a:ext uri="{FF2B5EF4-FFF2-40B4-BE49-F238E27FC236}">
                  <a16:creationId xmlns:a16="http://schemas.microsoft.com/office/drawing/2014/main" id="{898BBDBA-2EB1-4336-83F0-C5F31D5642FF}"/>
                </a:ext>
              </a:extLst>
            </xdr:cNvPr>
            <xdr:cNvGraphicFramePr/>
          </xdr:nvGraphicFramePr>
          <xdr:xfrm>
            <a:off x="0" y="0"/>
            <a:ext cx="0" cy="0"/>
          </xdr:xfrm>
          <a:graphic>
            <a:graphicData uri="http://schemas.microsoft.com/office/drawing/2010/slicer">
              <sle:slicer xmlns:sle="http://schemas.microsoft.com/office/drawing/2010/slicer" name="Admit Year"/>
            </a:graphicData>
          </a:graphic>
        </xdr:graphicFrame>
      </mc:Choice>
      <mc:Fallback xmlns="">
        <xdr:sp macro="" textlink="">
          <xdr:nvSpPr>
            <xdr:cNvPr id="0" name=""/>
            <xdr:cNvSpPr>
              <a:spLocks noTextEdit="1"/>
            </xdr:cNvSpPr>
          </xdr:nvSpPr>
          <xdr:spPr>
            <a:xfrm>
              <a:off x="53340" y="1143001"/>
              <a:ext cx="1043940" cy="1341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30</xdr:row>
      <xdr:rowOff>144780</xdr:rowOff>
    </xdr:from>
    <xdr:to>
      <xdr:col>2</xdr:col>
      <xdr:colOff>7620</xdr:colOff>
      <xdr:row>31</xdr:row>
      <xdr:rowOff>167640</xdr:rowOff>
    </xdr:to>
    <xdr:sp macro="" textlink="'Pivot Report'!A13">
      <xdr:nvSpPr>
        <xdr:cNvPr id="48" name="TextBox 47">
          <a:extLst>
            <a:ext uri="{FF2B5EF4-FFF2-40B4-BE49-F238E27FC236}">
              <a16:creationId xmlns:a16="http://schemas.microsoft.com/office/drawing/2014/main" id="{D5491CA2-A55E-48A8-BAB6-361F259A7B7B}"/>
            </a:ext>
          </a:extLst>
        </xdr:cNvPr>
        <xdr:cNvSpPr txBox="1"/>
      </xdr:nvSpPr>
      <xdr:spPr>
        <a:xfrm flipH="1">
          <a:off x="76200" y="5631180"/>
          <a:ext cx="12496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000" b="0">
              <a:solidFill>
                <a:schemeClr val="bg1"/>
              </a:solidFill>
              <a:latin typeface="Segoe UI "/>
              <a:ea typeface="Segoe UI Black" panose="020B0A02040204020203" pitchFamily="34" charset="0"/>
              <a:cs typeface="Times New Roman" panose="02020603050405020304" pitchFamily="18" charset="0"/>
            </a:rPr>
            <a:t>Age</a:t>
          </a:r>
          <a:r>
            <a:rPr lang="en-IN" sz="1000" b="0" baseline="0">
              <a:solidFill>
                <a:schemeClr val="bg1"/>
              </a:solidFill>
              <a:latin typeface="Segoe UI "/>
              <a:ea typeface="Segoe UI Black" panose="020B0A02040204020203" pitchFamily="34" charset="0"/>
              <a:cs typeface="Times New Roman" panose="02020603050405020304" pitchFamily="18" charset="0"/>
            </a:rPr>
            <a:t> Group</a:t>
          </a:r>
          <a:endParaRPr lang="en-IN" sz="1000" b="0">
            <a:solidFill>
              <a:schemeClr val="bg1"/>
            </a:solidFill>
            <a:latin typeface="Segoe UI "/>
            <a:ea typeface="Segoe UI Black" panose="020B0A02040204020203" pitchFamily="34" charset="0"/>
            <a:cs typeface="Times New Roman" panose="02020603050405020304" pitchFamily="18" charset="0"/>
          </a:endParaRPr>
        </a:p>
        <a:p>
          <a:pPr algn="l"/>
          <a:endParaRPr lang="en-IN" sz="1000" b="0">
            <a:solidFill>
              <a:schemeClr val="bg1"/>
            </a:solidFill>
            <a:latin typeface="Segoe UI "/>
            <a:ea typeface="Segoe UI Black" panose="020B0A02040204020203" pitchFamily="34" charset="0"/>
            <a:cs typeface="Times New Roman" panose="02020603050405020304" pitchFamily="18" charset="0"/>
          </a:endParaRPr>
        </a:p>
        <a:p>
          <a:pPr algn="l"/>
          <a:endParaRPr lang="en-IN" sz="1000" b="0">
            <a:solidFill>
              <a:schemeClr val="bg1"/>
            </a:solidFill>
            <a:latin typeface="Segoe UI "/>
            <a:ea typeface="Segoe UI Black" panose="020B0A02040204020203" pitchFamily="34" charset="0"/>
            <a:cs typeface="Times New Roman" panose="02020603050405020304" pitchFamily="18" charset="0"/>
          </a:endParaRPr>
        </a:p>
      </xdr:txBody>
    </xdr:sp>
    <xdr:clientData/>
  </xdr:twoCellAnchor>
  <xdr:twoCellAnchor editAs="absolute">
    <xdr:from>
      <xdr:col>0</xdr:col>
      <xdr:colOff>99060</xdr:colOff>
      <xdr:row>32</xdr:row>
      <xdr:rowOff>45719</xdr:rowOff>
    </xdr:from>
    <xdr:to>
      <xdr:col>0</xdr:col>
      <xdr:colOff>1013460</xdr:colOff>
      <xdr:row>43</xdr:row>
      <xdr:rowOff>106680</xdr:rowOff>
    </xdr:to>
    <mc:AlternateContent xmlns:mc="http://schemas.openxmlformats.org/markup-compatibility/2006" xmlns:a14="http://schemas.microsoft.com/office/drawing/2010/main">
      <mc:Choice Requires="a14">
        <xdr:graphicFrame macro="">
          <xdr:nvGraphicFramePr>
            <xdr:cNvPr id="50" name="Age By Group">
              <a:extLst>
                <a:ext uri="{FF2B5EF4-FFF2-40B4-BE49-F238E27FC236}">
                  <a16:creationId xmlns:a16="http://schemas.microsoft.com/office/drawing/2014/main" id="{6CB745E9-B853-42C3-8CF4-DFE2EBBBB22F}"/>
                </a:ext>
              </a:extLst>
            </xdr:cNvPr>
            <xdr:cNvGraphicFramePr/>
          </xdr:nvGraphicFramePr>
          <xdr:xfrm>
            <a:off x="0" y="0"/>
            <a:ext cx="0" cy="0"/>
          </xdr:xfrm>
          <a:graphic>
            <a:graphicData uri="http://schemas.microsoft.com/office/drawing/2010/slicer">
              <sle:slicer xmlns:sle="http://schemas.microsoft.com/office/drawing/2010/slicer" name="Age By Group"/>
            </a:graphicData>
          </a:graphic>
        </xdr:graphicFrame>
      </mc:Choice>
      <mc:Fallback xmlns="">
        <xdr:sp macro="" textlink="">
          <xdr:nvSpPr>
            <xdr:cNvPr id="0" name=""/>
            <xdr:cNvSpPr>
              <a:spLocks noTextEdit="1"/>
            </xdr:cNvSpPr>
          </xdr:nvSpPr>
          <xdr:spPr>
            <a:xfrm>
              <a:off x="99060" y="5890259"/>
              <a:ext cx="914400" cy="2072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167640</xdr:colOff>
      <xdr:row>13</xdr:row>
      <xdr:rowOff>38100</xdr:rowOff>
    </xdr:from>
    <xdr:to>
      <xdr:col>4</xdr:col>
      <xdr:colOff>342900</xdr:colOff>
      <xdr:row>27</xdr:row>
      <xdr:rowOff>45720</xdr:rowOff>
    </xdr:to>
    <xdr:graphicFrame macro="">
      <xdr:nvGraphicFramePr>
        <xdr:cNvPr id="93" name="Chart 92">
          <a:extLst>
            <a:ext uri="{FF2B5EF4-FFF2-40B4-BE49-F238E27FC236}">
              <a16:creationId xmlns:a16="http://schemas.microsoft.com/office/drawing/2014/main" id="{E11A7C3C-D1E9-4AAF-8144-C89FA6354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absolute">
    <xdr:from>
      <xdr:col>16</xdr:col>
      <xdr:colOff>22860</xdr:colOff>
      <xdr:row>9</xdr:row>
      <xdr:rowOff>91440</xdr:rowOff>
    </xdr:from>
    <xdr:to>
      <xdr:col>18</xdr:col>
      <xdr:colOff>129540</xdr:colOff>
      <xdr:row>10</xdr:row>
      <xdr:rowOff>144780</xdr:rowOff>
    </xdr:to>
    <xdr:sp macro="" textlink="'Pivot Report'!A4">
      <xdr:nvSpPr>
        <xdr:cNvPr id="110" name="TextBox 109">
          <a:extLst>
            <a:ext uri="{FF2B5EF4-FFF2-40B4-BE49-F238E27FC236}">
              <a16:creationId xmlns:a16="http://schemas.microsoft.com/office/drawing/2014/main" id="{E5A3F8C9-6A67-44FC-956B-403E6821DDDF}"/>
            </a:ext>
          </a:extLst>
        </xdr:cNvPr>
        <xdr:cNvSpPr txBox="1"/>
      </xdr:nvSpPr>
      <xdr:spPr>
        <a:xfrm flipH="1">
          <a:off x="11193780" y="1737360"/>
          <a:ext cx="13258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baseline="0">
              <a:latin typeface="Segoeui"/>
              <a:cs typeface="Times New Roman" panose="02020603050405020304" pitchFamily="18" charset="0"/>
            </a:rPr>
            <a:t>Unique Treatment </a:t>
          </a:r>
          <a:endParaRPr lang="en-IN" sz="800" b="0">
            <a:latin typeface="Segoeui"/>
            <a:cs typeface="Times New Roman" panose="02020603050405020304" pitchFamily="18" charset="0"/>
          </a:endParaRPr>
        </a:p>
      </xdr:txBody>
    </xdr:sp>
    <xdr:clientData/>
  </xdr:twoCellAnchor>
  <xdr:twoCellAnchor editAs="absolute">
    <xdr:from>
      <xdr:col>18</xdr:col>
      <xdr:colOff>389580</xdr:colOff>
      <xdr:row>9</xdr:row>
      <xdr:rowOff>135900</xdr:rowOff>
    </xdr:from>
    <xdr:to>
      <xdr:col>20</xdr:col>
      <xdr:colOff>496260</xdr:colOff>
      <xdr:row>11</xdr:row>
      <xdr:rowOff>6360</xdr:rowOff>
    </xdr:to>
    <xdr:sp macro="" textlink="'Pivot Report'!A4">
      <xdr:nvSpPr>
        <xdr:cNvPr id="111" name="TextBox 110">
          <a:extLst>
            <a:ext uri="{FF2B5EF4-FFF2-40B4-BE49-F238E27FC236}">
              <a16:creationId xmlns:a16="http://schemas.microsoft.com/office/drawing/2014/main" id="{5510148D-AF57-430D-A961-C00E1547573B}"/>
            </a:ext>
          </a:extLst>
        </xdr:cNvPr>
        <xdr:cNvSpPr txBox="1"/>
      </xdr:nvSpPr>
      <xdr:spPr>
        <a:xfrm flipH="1">
          <a:off x="12779700" y="1781820"/>
          <a:ext cx="13258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baseline="0">
              <a:latin typeface="Segoeui"/>
              <a:cs typeface="Times New Roman" panose="02020603050405020304" pitchFamily="18" charset="0"/>
            </a:rPr>
            <a:t>Average of age</a:t>
          </a:r>
          <a:endParaRPr lang="en-IN" sz="800" b="0">
            <a:latin typeface="Segoeui"/>
            <a:cs typeface="Times New Roman" panose="02020603050405020304" pitchFamily="18" charset="0"/>
          </a:endParaRPr>
        </a:p>
      </xdr:txBody>
    </xdr:sp>
    <xdr:clientData/>
  </xdr:twoCellAnchor>
  <xdr:twoCellAnchor editAs="absolute">
    <xdr:from>
      <xdr:col>19</xdr:col>
      <xdr:colOff>419100</xdr:colOff>
      <xdr:row>6</xdr:row>
      <xdr:rowOff>166380</xdr:rowOff>
    </xdr:from>
    <xdr:to>
      <xdr:col>20</xdr:col>
      <xdr:colOff>495300</xdr:colOff>
      <xdr:row>8</xdr:row>
      <xdr:rowOff>83820</xdr:rowOff>
    </xdr:to>
    <xdr:sp macro="" textlink="'Pivot Report'!A66">
      <xdr:nvSpPr>
        <xdr:cNvPr id="112" name="TextBox 111">
          <a:extLst>
            <a:ext uri="{FF2B5EF4-FFF2-40B4-BE49-F238E27FC236}">
              <a16:creationId xmlns:a16="http://schemas.microsoft.com/office/drawing/2014/main" id="{DDA840A5-9106-4875-A106-E813B08881AA}"/>
            </a:ext>
          </a:extLst>
        </xdr:cNvPr>
        <xdr:cNvSpPr txBox="1"/>
      </xdr:nvSpPr>
      <xdr:spPr>
        <a:xfrm flipH="1">
          <a:off x="13418820" y="1263660"/>
          <a:ext cx="685800" cy="28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7017654-DDBD-4D26-A008-CA022D89EA6D}" type="TxLink">
            <a:rPr lang="en-US" sz="1400" b="1" i="0" u="none" strike="noStrike">
              <a:solidFill>
                <a:srgbClr val="000000"/>
              </a:solidFill>
              <a:latin typeface="Aptos Narrow"/>
              <a:cs typeface="Times New Roman" panose="02020603050405020304" pitchFamily="18" charset="0"/>
            </a:rPr>
            <a:pPr algn="ctr"/>
            <a:t>58.00</a:t>
          </a:fld>
          <a:endParaRPr lang="en-IN" sz="1400" b="1">
            <a:latin typeface="Segoeui"/>
            <a:cs typeface="Times New Roman" panose="02020603050405020304" pitchFamily="18" charset="0"/>
          </a:endParaRPr>
        </a:p>
      </xdr:txBody>
    </xdr:sp>
    <xdr:clientData/>
  </xdr:twoCellAnchor>
  <xdr:twoCellAnchor>
    <xdr:from>
      <xdr:col>15</xdr:col>
      <xdr:colOff>579120</xdr:colOff>
      <xdr:row>29</xdr:row>
      <xdr:rowOff>137160</xdr:rowOff>
    </xdr:from>
    <xdr:to>
      <xdr:col>20</xdr:col>
      <xdr:colOff>403860</xdr:colOff>
      <xdr:row>43</xdr:row>
      <xdr:rowOff>114300</xdr:rowOff>
    </xdr:to>
    <xdr:sp macro="" textlink="">
      <xdr:nvSpPr>
        <xdr:cNvPr id="18" name="Rectangle 17">
          <a:extLst>
            <a:ext uri="{FF2B5EF4-FFF2-40B4-BE49-F238E27FC236}">
              <a16:creationId xmlns:a16="http://schemas.microsoft.com/office/drawing/2014/main" id="{74A2678E-12AA-1C90-AFC1-83B82304F18E}"/>
            </a:ext>
          </a:extLst>
        </xdr:cNvPr>
        <xdr:cNvSpPr/>
      </xdr:nvSpPr>
      <xdr:spPr>
        <a:xfrm>
          <a:off x="11140440" y="5440680"/>
          <a:ext cx="2872740" cy="2529840"/>
        </a:xfrm>
        <a:prstGeom prst="rect">
          <a:avLst/>
        </a:prstGeom>
        <a:ln>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a:p>
        <a:p>
          <a:pPr algn="l"/>
          <a:r>
            <a:rPr lang="en-IN" sz="1400" b="0">
              <a:solidFill>
                <a:schemeClr val="accent6"/>
              </a:solidFill>
            </a:rPr>
            <a:t>✓</a:t>
          </a:r>
          <a:r>
            <a:rPr lang="en-IN"/>
            <a:t> </a:t>
          </a:r>
          <a:r>
            <a:rPr lang="en-IN" sz="1050">
              <a:latin typeface="Saegeo ui"/>
            </a:rPr>
            <a:t>Total</a:t>
          </a:r>
          <a:r>
            <a:rPr lang="en-IN" sz="1050" baseline="0">
              <a:latin typeface="Saegeo ui"/>
            </a:rPr>
            <a:t> </a:t>
          </a:r>
          <a:r>
            <a:rPr lang="en-IN" sz="1050">
              <a:latin typeface="Saegeo ui"/>
            </a:rPr>
            <a:t>     patients admitted in the year </a:t>
          </a:r>
        </a:p>
        <a:p>
          <a:pPr algn="l"/>
          <a:endParaRPr lang="en-IN" sz="1100"/>
        </a:p>
        <a:p>
          <a:pPr algn="l"/>
          <a:r>
            <a:rPr lang="en-IN" sz="1400" b="1">
              <a:solidFill>
                <a:schemeClr val="accent6"/>
              </a:solidFill>
            </a:rPr>
            <a:t>✓</a:t>
          </a:r>
          <a:r>
            <a:rPr lang="en-IN"/>
            <a:t> </a:t>
          </a:r>
          <a:r>
            <a:rPr lang="en-IN" sz="1100" b="0">
              <a:latin typeface="Saegeo ui"/>
            </a:rPr>
            <a:t>Total hospital revenue is           </a:t>
          </a:r>
        </a:p>
        <a:p>
          <a:pPr algn="l"/>
          <a:endParaRPr lang="en-IN" sz="1100"/>
        </a:p>
        <a:p>
          <a:pPr algn="l"/>
          <a:r>
            <a:rPr lang="en-IN" sz="1400" b="1">
              <a:solidFill>
                <a:schemeClr val="accent6"/>
              </a:solidFill>
            </a:rPr>
            <a:t>✓</a:t>
          </a:r>
          <a:r>
            <a:rPr lang="en-IN"/>
            <a:t> </a:t>
          </a:r>
          <a:r>
            <a:rPr lang="en-IN" sz="1100">
              <a:latin typeface="Saegeo ui"/>
            </a:rPr>
            <a:t>Average bill amount per patient is </a:t>
          </a:r>
          <a:r>
            <a:rPr lang="en-IN" sz="1100" baseline="0">
              <a:latin typeface="Saegeo ui"/>
            </a:rPr>
            <a:t>    </a:t>
          </a:r>
          <a:endParaRPr lang="en-IN" sz="1100">
            <a:latin typeface="Saegeo ui"/>
          </a:endParaRPr>
        </a:p>
        <a:p>
          <a:pPr algn="l"/>
          <a:endParaRPr lang="en-IN" sz="1100"/>
        </a:p>
        <a:p>
          <a:pPr algn="l"/>
          <a:r>
            <a:rPr lang="en-IN" sz="1400" b="1">
              <a:solidFill>
                <a:schemeClr val="accent6"/>
              </a:solidFill>
            </a:rPr>
            <a:t>✓</a:t>
          </a:r>
          <a:r>
            <a:rPr lang="en-IN" sz="1100" b="0" baseline="0">
              <a:solidFill>
                <a:schemeClr val="dk1"/>
              </a:solidFill>
            </a:rPr>
            <a:t>                                                      </a:t>
          </a:r>
          <a:r>
            <a:rPr lang="en-IN" sz="1050">
              <a:latin typeface="Saegeo ui"/>
            </a:rPr>
            <a:t>has higher average bill amount</a:t>
          </a:r>
        </a:p>
        <a:p>
          <a:pPr algn="l"/>
          <a:endParaRPr lang="en-IN" sz="1100"/>
        </a:p>
        <a:p>
          <a:pPr algn="l"/>
          <a:r>
            <a:rPr lang="en-IN" sz="1400" b="1">
              <a:solidFill>
                <a:schemeClr val="accent6"/>
              </a:solidFill>
            </a:rPr>
            <a:t>✓</a:t>
          </a:r>
          <a:r>
            <a:rPr lang="en-IN"/>
            <a:t> </a:t>
          </a:r>
          <a:r>
            <a:rPr lang="en-IN" sz="1100">
              <a:latin typeface="Saegeo ui"/>
            </a:rPr>
            <a:t>Average length of stay is                     </a:t>
          </a:r>
          <a:r>
            <a:rPr lang="en-IN" sz="1100" baseline="0">
              <a:latin typeface="Saegeo ui"/>
            </a:rPr>
            <a:t> </a:t>
          </a:r>
          <a:r>
            <a:rPr lang="en-IN" sz="1100">
              <a:latin typeface="Saegeo ui"/>
            </a:rPr>
            <a:t>days</a:t>
          </a:r>
          <a:r>
            <a:rPr lang="en-IN"/>
            <a:t>.</a:t>
          </a:r>
          <a:endParaRPr lang="en-IN" sz="1100"/>
        </a:p>
      </xdr:txBody>
    </xdr:sp>
    <xdr:clientData/>
  </xdr:twoCellAnchor>
  <xdr:twoCellAnchor>
    <xdr:from>
      <xdr:col>15</xdr:col>
      <xdr:colOff>586740</xdr:colOff>
      <xdr:row>28</xdr:row>
      <xdr:rowOff>53340</xdr:rowOff>
    </xdr:from>
    <xdr:to>
      <xdr:col>20</xdr:col>
      <xdr:colOff>327660</xdr:colOff>
      <xdr:row>29</xdr:row>
      <xdr:rowOff>152400</xdr:rowOff>
    </xdr:to>
    <xdr:sp macro="" textlink="">
      <xdr:nvSpPr>
        <xdr:cNvPr id="28" name="Rectangle 27">
          <a:extLst>
            <a:ext uri="{FF2B5EF4-FFF2-40B4-BE49-F238E27FC236}">
              <a16:creationId xmlns:a16="http://schemas.microsoft.com/office/drawing/2014/main" id="{71478B7F-223D-55AD-DFA9-B4CDCB811F32}"/>
            </a:ext>
          </a:extLst>
        </xdr:cNvPr>
        <xdr:cNvSpPr/>
      </xdr:nvSpPr>
      <xdr:spPr>
        <a:xfrm>
          <a:off x="11148060" y="5173980"/>
          <a:ext cx="2788920" cy="281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solidFill>
              <a:latin typeface="Saegeo ui"/>
            </a:rPr>
            <a:t>KEY</a:t>
          </a:r>
          <a:r>
            <a:rPr lang="en-IN" sz="1200" b="1" baseline="0">
              <a:solidFill>
                <a:schemeClr val="bg1"/>
              </a:solidFill>
              <a:latin typeface="Saegeo ui"/>
            </a:rPr>
            <a:t> INSIGHT</a:t>
          </a:r>
          <a:endParaRPr lang="en-IN" sz="1200" b="1">
            <a:solidFill>
              <a:schemeClr val="bg1"/>
            </a:solidFill>
            <a:latin typeface="Saegeo ui"/>
          </a:endParaRPr>
        </a:p>
      </xdr:txBody>
    </xdr:sp>
    <xdr:clientData/>
  </xdr:twoCellAnchor>
  <xdr:twoCellAnchor>
    <xdr:from>
      <xdr:col>22</xdr:col>
      <xdr:colOff>0</xdr:colOff>
      <xdr:row>22</xdr:row>
      <xdr:rowOff>0</xdr:rowOff>
    </xdr:from>
    <xdr:to>
      <xdr:col>23</xdr:col>
      <xdr:colOff>76200</xdr:colOff>
      <xdr:row>25</xdr:row>
      <xdr:rowOff>0</xdr:rowOff>
    </xdr:to>
    <xdr:sp macro="" textlink="">
      <xdr:nvSpPr>
        <xdr:cNvPr id="1025" name="Text Box 1">
          <a:extLst>
            <a:ext uri="{FF2B5EF4-FFF2-40B4-BE49-F238E27FC236}">
              <a16:creationId xmlns:a16="http://schemas.microsoft.com/office/drawing/2014/main" id="{98C6DF06-08CD-E1B4-86CE-3B5443C4E555}"/>
            </a:ext>
          </a:extLst>
        </xdr:cNvPr>
        <xdr:cNvSpPr txBox="1">
          <a:spLocks noChangeArrowheads="1"/>
        </xdr:cNvSpPr>
      </xdr:nvSpPr>
      <xdr:spPr bwMode="auto">
        <a:xfrm>
          <a:off x="14828520" y="40233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a:t>
          </a:r>
        </a:p>
      </xdr:txBody>
    </xdr:sp>
    <xdr:clientData/>
  </xdr:twoCellAnchor>
  <xdr:twoCellAnchor>
    <xdr:from>
      <xdr:col>22</xdr:col>
      <xdr:colOff>0</xdr:colOff>
      <xdr:row>22</xdr:row>
      <xdr:rowOff>0</xdr:rowOff>
    </xdr:from>
    <xdr:to>
      <xdr:col>23</xdr:col>
      <xdr:colOff>76200</xdr:colOff>
      <xdr:row>25</xdr:row>
      <xdr:rowOff>0</xdr:rowOff>
    </xdr:to>
    <xdr:sp macro="" textlink="">
      <xdr:nvSpPr>
        <xdr:cNvPr id="1026" name="Text Box 2">
          <a:extLst>
            <a:ext uri="{FF2B5EF4-FFF2-40B4-BE49-F238E27FC236}">
              <a16:creationId xmlns:a16="http://schemas.microsoft.com/office/drawing/2014/main" id="{D8D57817-AD51-2E5E-ED2D-586080AFC982}"/>
            </a:ext>
          </a:extLst>
        </xdr:cNvPr>
        <xdr:cNvSpPr txBox="1">
          <a:spLocks noChangeArrowheads="1"/>
        </xdr:cNvSpPr>
      </xdr:nvSpPr>
      <xdr:spPr bwMode="auto">
        <a:xfrm>
          <a:off x="14828520" y="40233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a:t>
          </a:r>
        </a:p>
      </xdr:txBody>
    </xdr:sp>
    <xdr:clientData/>
  </xdr:twoCellAnchor>
  <xdr:twoCellAnchor>
    <xdr:from>
      <xdr:col>22</xdr:col>
      <xdr:colOff>0</xdr:colOff>
      <xdr:row>22</xdr:row>
      <xdr:rowOff>0</xdr:rowOff>
    </xdr:from>
    <xdr:to>
      <xdr:col>23</xdr:col>
      <xdr:colOff>76200</xdr:colOff>
      <xdr:row>25</xdr:row>
      <xdr:rowOff>0</xdr:rowOff>
    </xdr:to>
    <xdr:sp macro="" textlink="">
      <xdr:nvSpPr>
        <xdr:cNvPr id="1028" name="Text Box 4">
          <a:extLst>
            <a:ext uri="{FF2B5EF4-FFF2-40B4-BE49-F238E27FC236}">
              <a16:creationId xmlns:a16="http://schemas.microsoft.com/office/drawing/2014/main" id="{CD109870-20D6-211A-33A1-D5AA55B57EED}"/>
            </a:ext>
          </a:extLst>
        </xdr:cNvPr>
        <xdr:cNvSpPr txBox="1">
          <a:spLocks noChangeArrowheads="1"/>
        </xdr:cNvSpPr>
      </xdr:nvSpPr>
      <xdr:spPr bwMode="auto">
        <a:xfrm>
          <a:off x="14828520" y="40233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a:t>
          </a:r>
        </a:p>
      </xdr:txBody>
    </xdr:sp>
    <xdr:clientData/>
  </xdr:twoCellAnchor>
  <xdr:twoCellAnchor>
    <xdr:from>
      <xdr:col>22</xdr:col>
      <xdr:colOff>0</xdr:colOff>
      <xdr:row>22</xdr:row>
      <xdr:rowOff>0</xdr:rowOff>
    </xdr:from>
    <xdr:to>
      <xdr:col>23</xdr:col>
      <xdr:colOff>76200</xdr:colOff>
      <xdr:row>25</xdr:row>
      <xdr:rowOff>0</xdr:rowOff>
    </xdr:to>
    <xdr:sp macro="" textlink="">
      <xdr:nvSpPr>
        <xdr:cNvPr id="1029" name="Text Box 5">
          <a:extLst>
            <a:ext uri="{FF2B5EF4-FFF2-40B4-BE49-F238E27FC236}">
              <a16:creationId xmlns:a16="http://schemas.microsoft.com/office/drawing/2014/main" id="{CF8A00BD-22FE-AB7C-FCB4-A8C9287B7084}"/>
            </a:ext>
          </a:extLst>
        </xdr:cNvPr>
        <xdr:cNvSpPr txBox="1">
          <a:spLocks noChangeArrowheads="1"/>
        </xdr:cNvSpPr>
      </xdr:nvSpPr>
      <xdr:spPr bwMode="auto">
        <a:xfrm>
          <a:off x="14828520" y="40233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 Total 2 patients admitted in the year 2021.</a:t>
          </a:r>
        </a:p>
        <a:p>
          <a:pPr algn="l" rtl="0">
            <a:defRPr sz="1000"/>
          </a:pPr>
          <a:endParaRPr lang="en-IN" sz="1100" b="0" i="0" u="none" strike="noStrike" baseline="0">
            <a:solidFill>
              <a:srgbClr val="000000"/>
            </a:solidFill>
            <a:latin typeface="Aptos Narrow"/>
          </a:endParaRPr>
        </a:p>
        <a:p>
          <a:pPr algn="l" rtl="0">
            <a:defRPr sz="1000"/>
          </a:pPr>
          <a:r>
            <a:rPr lang="en-IN" sz="1100" b="0" i="0" u="none" strike="noStrike" baseline="0">
              <a:solidFill>
                <a:srgbClr val="000000"/>
              </a:solidFill>
              <a:latin typeface="Aptos Narrow"/>
            </a:rPr>
            <a:t>✓ Total hospital revenue is ₹5,433.</a:t>
          </a:r>
        </a:p>
        <a:p>
          <a:pPr algn="l" rtl="0">
            <a:defRPr sz="1000"/>
          </a:pPr>
          <a:endParaRPr lang="en-IN" sz="1100" b="0" i="0" u="none" strike="noStrike" baseline="0">
            <a:solidFill>
              <a:srgbClr val="000000"/>
            </a:solidFill>
            <a:latin typeface="Aptos Narrow"/>
          </a:endParaRPr>
        </a:p>
        <a:p>
          <a:pPr algn="l" rtl="0">
            <a:defRPr sz="1000"/>
          </a:pPr>
          <a:r>
            <a:rPr lang="en-IN" sz="1100" b="0" i="0" u="none" strike="noStrike" baseline="0">
              <a:solidFill>
                <a:srgbClr val="000000"/>
              </a:solidFill>
              <a:latin typeface="Aptos Narrow"/>
            </a:rPr>
            <a:t>✓ Average bill amount per patient is ₹2,716.50.</a:t>
          </a:r>
        </a:p>
        <a:p>
          <a:pPr algn="l" rtl="0">
            <a:defRPr sz="1000"/>
          </a:pPr>
          <a:endParaRPr lang="en-IN" sz="1100" b="0" i="0" u="none" strike="noStrike" baseline="0">
            <a:solidFill>
              <a:srgbClr val="000000"/>
            </a:solidFill>
            <a:latin typeface="Aptos Narrow"/>
          </a:endParaRPr>
        </a:p>
        <a:p>
          <a:pPr algn="l" rtl="0">
            <a:defRPr sz="1000"/>
          </a:pPr>
          <a:r>
            <a:rPr lang="en-IN" sz="1100" b="0" i="0" u="none" strike="noStrike" baseline="0">
              <a:solidFill>
                <a:srgbClr val="000000"/>
              </a:solidFill>
              <a:latin typeface="Aptos Narrow"/>
            </a:rPr>
            <a:t>✓ Antidepressants has higher average bill amount.</a:t>
          </a:r>
        </a:p>
        <a:p>
          <a:pPr algn="l" rtl="0">
            <a:defRPr sz="1000"/>
          </a:pPr>
          <a:endParaRPr lang="en-IN" sz="1100" b="0" i="0" u="none" strike="noStrike" baseline="0">
            <a:solidFill>
              <a:srgbClr val="000000"/>
            </a:solidFill>
            <a:latin typeface="Aptos Narrow"/>
          </a:endParaRPr>
        </a:p>
        <a:p>
          <a:pPr algn="l" rtl="0">
            <a:defRPr sz="1000"/>
          </a:pPr>
          <a:r>
            <a:rPr lang="en-IN" sz="1100" b="0" i="0" u="none" strike="noStrike" baseline="0">
              <a:solidFill>
                <a:srgbClr val="000000"/>
              </a:solidFill>
              <a:latin typeface="Aptos Narrow"/>
            </a:rPr>
            <a:t>✓ Average length of stay is 16.50 days.</a:t>
          </a:r>
        </a:p>
      </xdr:txBody>
    </xdr:sp>
    <xdr:clientData/>
  </xdr:twoCellAnchor>
  <xdr:twoCellAnchor>
    <xdr:from>
      <xdr:col>22</xdr:col>
      <xdr:colOff>0</xdr:colOff>
      <xdr:row>22</xdr:row>
      <xdr:rowOff>0</xdr:rowOff>
    </xdr:from>
    <xdr:to>
      <xdr:col>23</xdr:col>
      <xdr:colOff>76200</xdr:colOff>
      <xdr:row>25</xdr:row>
      <xdr:rowOff>0</xdr:rowOff>
    </xdr:to>
    <xdr:sp macro="" textlink="">
      <xdr:nvSpPr>
        <xdr:cNvPr id="1031" name="Text Box 7">
          <a:extLst>
            <a:ext uri="{FF2B5EF4-FFF2-40B4-BE49-F238E27FC236}">
              <a16:creationId xmlns:a16="http://schemas.microsoft.com/office/drawing/2014/main" id="{62FA9049-B4AA-EAC2-925D-4A40E68622AE}"/>
            </a:ext>
          </a:extLst>
        </xdr:cNvPr>
        <xdr:cNvSpPr txBox="1">
          <a:spLocks noChangeArrowheads="1"/>
        </xdr:cNvSpPr>
      </xdr:nvSpPr>
      <xdr:spPr bwMode="auto">
        <a:xfrm>
          <a:off x="14828520" y="40233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 Total 2 patients admitted in the year 2021.</a:t>
          </a:r>
        </a:p>
        <a:p>
          <a:pPr algn="l" rtl="0">
            <a:defRPr sz="1000"/>
          </a:pPr>
          <a:endParaRPr lang="en-IN" sz="1100" b="0" i="0" u="none" strike="noStrike" baseline="0">
            <a:solidFill>
              <a:srgbClr val="000000"/>
            </a:solidFill>
            <a:latin typeface="Aptos Narrow"/>
          </a:endParaRPr>
        </a:p>
        <a:p>
          <a:pPr algn="l" rtl="0">
            <a:defRPr sz="1000"/>
          </a:pPr>
          <a:r>
            <a:rPr lang="en-IN" sz="1100" b="0" i="0" u="none" strike="noStrike" baseline="0">
              <a:solidFill>
                <a:srgbClr val="000000"/>
              </a:solidFill>
              <a:latin typeface="Aptos Narrow"/>
            </a:rPr>
            <a:t>✓ Total hospital revenue is ₹5,433.</a:t>
          </a:r>
        </a:p>
        <a:p>
          <a:pPr algn="l" rtl="0">
            <a:defRPr sz="1000"/>
          </a:pPr>
          <a:endParaRPr lang="en-IN" sz="1100" b="0" i="0" u="none" strike="noStrike" baseline="0">
            <a:solidFill>
              <a:srgbClr val="000000"/>
            </a:solidFill>
            <a:latin typeface="Aptos Narrow"/>
          </a:endParaRPr>
        </a:p>
        <a:p>
          <a:pPr algn="l" rtl="0">
            <a:defRPr sz="1000"/>
          </a:pPr>
          <a:r>
            <a:rPr lang="en-IN" sz="1100" b="0" i="0" u="none" strike="noStrike" baseline="0">
              <a:solidFill>
                <a:srgbClr val="000000"/>
              </a:solidFill>
              <a:latin typeface="Aptos Narrow"/>
            </a:rPr>
            <a:t>✓ Average bill amount per patient is ₹2,716.50.</a:t>
          </a:r>
        </a:p>
        <a:p>
          <a:pPr algn="l" rtl="0">
            <a:defRPr sz="1000"/>
          </a:pPr>
          <a:endParaRPr lang="en-IN" sz="1100" b="0" i="0" u="none" strike="noStrike" baseline="0">
            <a:solidFill>
              <a:srgbClr val="000000"/>
            </a:solidFill>
            <a:latin typeface="Aptos Narrow"/>
          </a:endParaRPr>
        </a:p>
        <a:p>
          <a:pPr algn="l" rtl="0">
            <a:defRPr sz="1000"/>
          </a:pPr>
          <a:r>
            <a:rPr lang="en-IN" sz="1100" b="0" i="0" u="none" strike="noStrike" baseline="0">
              <a:solidFill>
                <a:srgbClr val="000000"/>
              </a:solidFill>
              <a:latin typeface="Aptos Narrow"/>
            </a:rPr>
            <a:t>✓ Antidepressants has higher average bill amount.</a:t>
          </a:r>
        </a:p>
        <a:p>
          <a:pPr algn="l" rtl="0">
            <a:defRPr sz="1000"/>
          </a:pPr>
          <a:endParaRPr lang="en-IN" sz="1100" b="0" i="0" u="none" strike="noStrike" baseline="0">
            <a:solidFill>
              <a:srgbClr val="000000"/>
            </a:solidFill>
            <a:latin typeface="Aptos Narrow"/>
          </a:endParaRPr>
        </a:p>
        <a:p>
          <a:pPr algn="l" rtl="0">
            <a:defRPr sz="1000"/>
          </a:pPr>
          <a:r>
            <a:rPr lang="en-IN" sz="1100" b="0" i="0" u="none" strike="noStrike" baseline="0">
              <a:solidFill>
                <a:srgbClr val="000000"/>
              </a:solidFill>
              <a:latin typeface="Aptos Narrow"/>
            </a:rPr>
            <a:t>✓ Average length of stay is 16.50 days.</a:t>
          </a:r>
        </a:p>
      </xdr:txBody>
    </xdr:sp>
    <xdr:clientData/>
  </xdr:twoCellAnchor>
  <xdr:twoCellAnchor>
    <xdr:from>
      <xdr:col>16</xdr:col>
      <xdr:colOff>556260</xdr:colOff>
      <xdr:row>31</xdr:row>
      <xdr:rowOff>15240</xdr:rowOff>
    </xdr:from>
    <xdr:to>
      <xdr:col>16</xdr:col>
      <xdr:colOff>609599</xdr:colOff>
      <xdr:row>32</xdr:row>
      <xdr:rowOff>114300</xdr:rowOff>
    </xdr:to>
    <xdr:sp macro="" textlink="'Pivot Report'!A4">
      <xdr:nvSpPr>
        <xdr:cNvPr id="54" name="Rectangle 53">
          <a:extLst>
            <a:ext uri="{FF2B5EF4-FFF2-40B4-BE49-F238E27FC236}">
              <a16:creationId xmlns:a16="http://schemas.microsoft.com/office/drawing/2014/main" id="{4B2D1613-A1C8-14A6-A4FC-758CE064B6F9}"/>
            </a:ext>
          </a:extLst>
        </xdr:cNvPr>
        <xdr:cNvSpPr/>
      </xdr:nvSpPr>
      <xdr:spPr>
        <a:xfrm>
          <a:off x="11727180" y="5676900"/>
          <a:ext cx="53339" cy="28194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321941AD-3967-4862-B5A1-634DDFF8154B}" type="TxLink">
            <a:rPr lang="en-US" sz="1100" b="0" i="0" u="none" strike="noStrike">
              <a:solidFill>
                <a:srgbClr val="000000"/>
              </a:solidFill>
              <a:latin typeface="Aptos Narrow"/>
            </a:rPr>
            <a:pPr algn="ctr"/>
            <a:t>1</a:t>
          </a:fld>
          <a:endParaRPr lang="en-IN" sz="1100"/>
        </a:p>
      </xdr:txBody>
    </xdr:sp>
    <xdr:clientData/>
  </xdr:twoCellAnchor>
  <xdr:twoCellAnchor>
    <xdr:from>
      <xdr:col>19</xdr:col>
      <xdr:colOff>60960</xdr:colOff>
      <xdr:row>33</xdr:row>
      <xdr:rowOff>30480</xdr:rowOff>
    </xdr:from>
    <xdr:to>
      <xdr:col>20</xdr:col>
      <xdr:colOff>198120</xdr:colOff>
      <xdr:row>34</xdr:row>
      <xdr:rowOff>106680</xdr:rowOff>
    </xdr:to>
    <xdr:sp macro="" textlink="'Pivot Report'!A8">
      <xdr:nvSpPr>
        <xdr:cNvPr id="55" name="Rectangle 54">
          <a:extLst>
            <a:ext uri="{FF2B5EF4-FFF2-40B4-BE49-F238E27FC236}">
              <a16:creationId xmlns:a16="http://schemas.microsoft.com/office/drawing/2014/main" id="{13E150BD-8760-4D88-6155-89ED05248D72}"/>
            </a:ext>
          </a:extLst>
        </xdr:cNvPr>
        <xdr:cNvSpPr/>
      </xdr:nvSpPr>
      <xdr:spPr>
        <a:xfrm>
          <a:off x="13060680" y="6057900"/>
          <a:ext cx="746760" cy="25908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DEFCEBB5-A25F-4B86-9A69-ABC5238E6F3A}" type="TxLink">
            <a:rPr lang="en-US" sz="1100" b="0" i="0" u="none" strike="noStrike">
              <a:solidFill>
                <a:srgbClr val="000000"/>
              </a:solidFill>
              <a:latin typeface="Aptos Narrow"/>
            </a:rPr>
            <a:pPr algn="l"/>
            <a:t>738</a:t>
          </a:fld>
          <a:endParaRPr lang="en-IN" sz="1100"/>
        </a:p>
      </xdr:txBody>
    </xdr:sp>
    <xdr:clientData/>
  </xdr:twoCellAnchor>
  <xdr:twoCellAnchor editAs="oneCell">
    <xdr:from>
      <xdr:col>18</xdr:col>
      <xdr:colOff>464820</xdr:colOff>
      <xdr:row>33</xdr:row>
      <xdr:rowOff>38100</xdr:rowOff>
    </xdr:from>
    <xdr:to>
      <xdr:col>19</xdr:col>
      <xdr:colOff>160046</xdr:colOff>
      <xdr:row>34</xdr:row>
      <xdr:rowOff>153950</xdr:rowOff>
    </xdr:to>
    <xdr:pic>
      <xdr:nvPicPr>
        <xdr:cNvPr id="56" name="Picture 55">
          <a:extLst>
            <a:ext uri="{FF2B5EF4-FFF2-40B4-BE49-F238E27FC236}">
              <a16:creationId xmlns:a16="http://schemas.microsoft.com/office/drawing/2014/main" id="{782BEF8D-434D-8F98-462B-C54F3E68F8A5}"/>
            </a:ext>
          </a:extLst>
        </xdr:cNvPr>
        <xdr:cNvPicPr>
          <a:picLocks noChangeAspect="1"/>
        </xdr:cNvPicPr>
      </xdr:nvPicPr>
      <xdr:blipFill>
        <a:blip xmlns:r="http://schemas.openxmlformats.org/officeDocument/2006/relationships" r:embed="rId25"/>
        <a:stretch>
          <a:fillRect/>
        </a:stretch>
      </xdr:blipFill>
      <xdr:spPr>
        <a:xfrm>
          <a:off x="12854940" y="6065520"/>
          <a:ext cx="304826" cy="298730"/>
        </a:xfrm>
        <a:prstGeom prst="rect">
          <a:avLst/>
        </a:prstGeom>
      </xdr:spPr>
    </xdr:pic>
    <xdr:clientData/>
  </xdr:twoCellAnchor>
  <xdr:twoCellAnchor>
    <xdr:from>
      <xdr:col>19</xdr:col>
      <xdr:colOff>457200</xdr:colOff>
      <xdr:row>35</xdr:row>
      <xdr:rowOff>60960</xdr:rowOff>
    </xdr:from>
    <xdr:to>
      <xdr:col>20</xdr:col>
      <xdr:colOff>434340</xdr:colOff>
      <xdr:row>36</xdr:row>
      <xdr:rowOff>129540</xdr:rowOff>
    </xdr:to>
    <xdr:sp macro="" textlink="'Pivot Report'!A13">
      <xdr:nvSpPr>
        <xdr:cNvPr id="57" name="Rectangle 56">
          <a:extLst>
            <a:ext uri="{FF2B5EF4-FFF2-40B4-BE49-F238E27FC236}">
              <a16:creationId xmlns:a16="http://schemas.microsoft.com/office/drawing/2014/main" id="{592F66AE-DA53-1623-E303-23BA4222A09B}"/>
            </a:ext>
          </a:extLst>
        </xdr:cNvPr>
        <xdr:cNvSpPr/>
      </xdr:nvSpPr>
      <xdr:spPr>
        <a:xfrm>
          <a:off x="13456920" y="6454140"/>
          <a:ext cx="586740" cy="25146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E6C2AD5-A9DF-4F2F-AE09-1DB7D138515F}" type="TxLink">
            <a:rPr lang="en-US" sz="1100" b="0" i="0" u="none" strike="noStrike">
              <a:solidFill>
                <a:srgbClr val="000000"/>
              </a:solidFill>
              <a:latin typeface="Aptos Narrow"/>
            </a:rPr>
            <a:pPr algn="l"/>
            <a:t>738.00</a:t>
          </a:fld>
          <a:endParaRPr lang="en-IN" sz="1100"/>
        </a:p>
      </xdr:txBody>
    </xdr:sp>
    <xdr:clientData/>
  </xdr:twoCellAnchor>
  <xdr:twoCellAnchor editAs="oneCell">
    <xdr:from>
      <xdr:col>19</xdr:col>
      <xdr:colOff>381001</xdr:colOff>
      <xdr:row>35</xdr:row>
      <xdr:rowOff>60960</xdr:rowOff>
    </xdr:from>
    <xdr:to>
      <xdr:col>19</xdr:col>
      <xdr:colOff>548640</xdr:colOff>
      <xdr:row>36</xdr:row>
      <xdr:rowOff>176810</xdr:rowOff>
    </xdr:to>
    <xdr:pic>
      <xdr:nvPicPr>
        <xdr:cNvPr id="60" name="Picture 59">
          <a:extLst>
            <a:ext uri="{FF2B5EF4-FFF2-40B4-BE49-F238E27FC236}">
              <a16:creationId xmlns:a16="http://schemas.microsoft.com/office/drawing/2014/main" id="{8106BFBF-EB06-C494-4993-9BD55B96C644}"/>
            </a:ext>
          </a:extLst>
        </xdr:cNvPr>
        <xdr:cNvPicPr>
          <a:picLocks noChangeAspect="1"/>
        </xdr:cNvPicPr>
      </xdr:nvPicPr>
      <xdr:blipFill>
        <a:blip xmlns:r="http://schemas.openxmlformats.org/officeDocument/2006/relationships" r:embed="rId26"/>
        <a:stretch>
          <a:fillRect/>
        </a:stretch>
      </xdr:blipFill>
      <xdr:spPr>
        <a:xfrm>
          <a:off x="13380721" y="6454140"/>
          <a:ext cx="167639" cy="298730"/>
        </a:xfrm>
        <a:prstGeom prst="rect">
          <a:avLst/>
        </a:prstGeom>
      </xdr:spPr>
    </xdr:pic>
    <xdr:clientData/>
  </xdr:twoCellAnchor>
  <xdr:twoCellAnchor>
    <xdr:from>
      <xdr:col>18</xdr:col>
      <xdr:colOff>457200</xdr:colOff>
      <xdr:row>40</xdr:row>
      <xdr:rowOff>53340</xdr:rowOff>
    </xdr:from>
    <xdr:to>
      <xdr:col>19</xdr:col>
      <xdr:colOff>472440</xdr:colOff>
      <xdr:row>41</xdr:row>
      <xdr:rowOff>121920</xdr:rowOff>
    </xdr:to>
    <xdr:sp macro="" textlink="'Pivot Report'!A33">
      <xdr:nvSpPr>
        <xdr:cNvPr id="61" name="Rectangle 60">
          <a:extLst>
            <a:ext uri="{FF2B5EF4-FFF2-40B4-BE49-F238E27FC236}">
              <a16:creationId xmlns:a16="http://schemas.microsoft.com/office/drawing/2014/main" id="{FD780F87-7349-CA42-AB49-FDB5F0B3A687}"/>
            </a:ext>
          </a:extLst>
        </xdr:cNvPr>
        <xdr:cNvSpPr/>
      </xdr:nvSpPr>
      <xdr:spPr>
        <a:xfrm>
          <a:off x="12847320" y="7360920"/>
          <a:ext cx="624840" cy="25146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39A958D-F7F3-4CCA-A147-696D67C90524}" type="TxLink">
            <a:rPr lang="en-US" sz="1100" b="0" i="0" u="none" strike="noStrike">
              <a:solidFill>
                <a:srgbClr val="000000"/>
              </a:solidFill>
              <a:latin typeface="Aptos Narrow"/>
            </a:rPr>
            <a:pPr algn="l"/>
            <a:t>4.00</a:t>
          </a:fld>
          <a:endParaRPr lang="en-IN" sz="1100"/>
        </a:p>
      </xdr:txBody>
    </xdr:sp>
    <xdr:clientData/>
  </xdr:twoCellAnchor>
  <xdr:twoCellAnchor>
    <xdr:from>
      <xdr:col>19</xdr:col>
      <xdr:colOff>480060</xdr:colOff>
      <xdr:row>31</xdr:row>
      <xdr:rowOff>7620</xdr:rowOff>
    </xdr:from>
    <xdr:to>
      <xdr:col>20</xdr:col>
      <xdr:colOff>373380</xdr:colOff>
      <xdr:row>32</xdr:row>
      <xdr:rowOff>7620</xdr:rowOff>
    </xdr:to>
    <xdr:sp macro="" textlink="'Pivot Report'!D23">
      <xdr:nvSpPr>
        <xdr:cNvPr id="63" name="Rectangle 62">
          <a:extLst>
            <a:ext uri="{FF2B5EF4-FFF2-40B4-BE49-F238E27FC236}">
              <a16:creationId xmlns:a16="http://schemas.microsoft.com/office/drawing/2014/main" id="{D57893D8-F011-A99A-168B-8A54BEE9EC0D}"/>
            </a:ext>
          </a:extLst>
        </xdr:cNvPr>
        <xdr:cNvSpPr/>
      </xdr:nvSpPr>
      <xdr:spPr>
        <a:xfrm>
          <a:off x="13479780" y="5669280"/>
          <a:ext cx="502920" cy="18288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71FE4051-C6E8-49CC-A5CA-79CA80449606}" type="TxLink">
            <a:rPr lang="en-US" sz="1100" b="0" i="0" u="none" strike="noStrike">
              <a:solidFill>
                <a:srgbClr val="000000"/>
              </a:solidFill>
              <a:latin typeface="Aptos Narrow"/>
            </a:rPr>
            <a:pPr algn="l"/>
            <a:t>2022</a:t>
          </a:fld>
          <a:endParaRPr lang="en-IN" sz="1100"/>
        </a:p>
      </xdr:txBody>
    </xdr:sp>
    <xdr:clientData/>
  </xdr:twoCellAnchor>
  <xdr:twoCellAnchor editAs="absolute">
    <xdr:from>
      <xdr:col>11</xdr:col>
      <xdr:colOff>297180</xdr:colOff>
      <xdr:row>6</xdr:row>
      <xdr:rowOff>160020</xdr:rowOff>
    </xdr:from>
    <xdr:to>
      <xdr:col>12</xdr:col>
      <xdr:colOff>411480</xdr:colOff>
      <xdr:row>8</xdr:row>
      <xdr:rowOff>68580</xdr:rowOff>
    </xdr:to>
    <xdr:sp macro="" textlink="'Pivot Report'!A33">
      <xdr:nvSpPr>
        <xdr:cNvPr id="64" name="TextBox 63">
          <a:extLst>
            <a:ext uri="{FF2B5EF4-FFF2-40B4-BE49-F238E27FC236}">
              <a16:creationId xmlns:a16="http://schemas.microsoft.com/office/drawing/2014/main" id="{F96557FD-889A-4BBA-9F1F-E1E17121636C}"/>
            </a:ext>
          </a:extLst>
        </xdr:cNvPr>
        <xdr:cNvSpPr txBox="1"/>
      </xdr:nvSpPr>
      <xdr:spPr>
        <a:xfrm flipH="1">
          <a:off x="8420100" y="1257300"/>
          <a:ext cx="7239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F8391B7-E492-4CBD-8883-7F65625C0F9A}" type="TxLink">
            <a:rPr lang="en-US" sz="1400" b="1" i="0" u="none" strike="noStrike">
              <a:solidFill>
                <a:srgbClr val="000000"/>
              </a:solidFill>
              <a:latin typeface="Saegeo ui"/>
              <a:cs typeface="Times New Roman" panose="02020603050405020304" pitchFamily="18" charset="0"/>
            </a:rPr>
            <a:pPr algn="ctr"/>
            <a:t>4.00</a:t>
          </a:fld>
          <a:endParaRPr lang="en-IN" sz="1400" b="1">
            <a:latin typeface="Saegeo ui"/>
            <a:cs typeface="Times New Roman" panose="02020603050405020304" pitchFamily="18" charset="0"/>
          </a:endParaRPr>
        </a:p>
      </xdr:txBody>
    </xdr:sp>
    <xdr:clientData/>
  </xdr:twoCellAnchor>
  <xdr:oneCellAnchor>
    <xdr:from>
      <xdr:col>0</xdr:col>
      <xdr:colOff>922020</xdr:colOff>
      <xdr:row>46</xdr:row>
      <xdr:rowOff>60960</xdr:rowOff>
    </xdr:from>
    <xdr:ext cx="184731" cy="264560"/>
    <xdr:sp macro="" textlink="">
      <xdr:nvSpPr>
        <xdr:cNvPr id="17" name="TextBox 16">
          <a:extLst>
            <a:ext uri="{FF2B5EF4-FFF2-40B4-BE49-F238E27FC236}">
              <a16:creationId xmlns:a16="http://schemas.microsoft.com/office/drawing/2014/main" id="{B8466C1C-D5A2-ADD3-CAF4-33E14379221D}"/>
            </a:ext>
          </a:extLst>
        </xdr:cNvPr>
        <xdr:cNvSpPr txBox="1"/>
      </xdr:nvSpPr>
      <xdr:spPr>
        <a:xfrm>
          <a:off x="922020" y="846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xdr:col>
      <xdr:colOff>30480</xdr:colOff>
      <xdr:row>6</xdr:row>
      <xdr:rowOff>160020</xdr:rowOff>
    </xdr:from>
    <xdr:to>
      <xdr:col>2</xdr:col>
      <xdr:colOff>60960</xdr:colOff>
      <xdr:row>8</xdr:row>
      <xdr:rowOff>144780</xdr:rowOff>
    </xdr:to>
    <xdr:pic>
      <xdr:nvPicPr>
        <xdr:cNvPr id="52" name="Picture 51">
          <a:extLst>
            <a:ext uri="{FF2B5EF4-FFF2-40B4-BE49-F238E27FC236}">
              <a16:creationId xmlns:a16="http://schemas.microsoft.com/office/drawing/2014/main" id="{BBA3F8F6-B845-4C9E-9A69-86797F5963AB}"/>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1325880" y="1257300"/>
          <a:ext cx="51054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1211580</xdr:colOff>
      <xdr:row>6</xdr:row>
      <xdr:rowOff>76200</xdr:rowOff>
    </xdr:from>
    <xdr:to>
      <xdr:col>3</xdr:col>
      <xdr:colOff>213360</xdr:colOff>
      <xdr:row>8</xdr:row>
      <xdr:rowOff>129540</xdr:rowOff>
    </xdr:to>
    <xdr:pic>
      <xdr:nvPicPr>
        <xdr:cNvPr id="65" name="Picture 64">
          <a:extLst>
            <a:ext uri="{FF2B5EF4-FFF2-40B4-BE49-F238E27FC236}">
              <a16:creationId xmlns:a16="http://schemas.microsoft.com/office/drawing/2014/main" id="{0B90FB4F-4848-4D01-8FC3-E78762B71788}"/>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2987040" y="1173480"/>
          <a:ext cx="47244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167640</xdr:colOff>
      <xdr:row>6</xdr:row>
      <xdr:rowOff>99060</xdr:rowOff>
    </xdr:from>
    <xdr:to>
      <xdr:col>5</xdr:col>
      <xdr:colOff>556260</xdr:colOff>
      <xdr:row>8</xdr:row>
      <xdr:rowOff>152400</xdr:rowOff>
    </xdr:to>
    <xdr:pic>
      <xdr:nvPicPr>
        <xdr:cNvPr id="69" name="Picture 68">
          <a:extLst>
            <a:ext uri="{FF2B5EF4-FFF2-40B4-BE49-F238E27FC236}">
              <a16:creationId xmlns:a16="http://schemas.microsoft.com/office/drawing/2014/main" id="{C0786378-75A4-4BBA-AE19-BE5E3ABDBE6B}"/>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4632960" y="1196340"/>
          <a:ext cx="38862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457200</xdr:colOff>
      <xdr:row>6</xdr:row>
      <xdr:rowOff>167640</xdr:rowOff>
    </xdr:from>
    <xdr:to>
      <xdr:col>8</xdr:col>
      <xdr:colOff>396240</xdr:colOff>
      <xdr:row>8</xdr:row>
      <xdr:rowOff>129540</xdr:rowOff>
    </xdr:to>
    <xdr:pic>
      <xdr:nvPicPr>
        <xdr:cNvPr id="74" name="Picture 73">
          <a:extLst>
            <a:ext uri="{FF2B5EF4-FFF2-40B4-BE49-F238E27FC236}">
              <a16:creationId xmlns:a16="http://schemas.microsoft.com/office/drawing/2014/main" id="{52F4E3E2-CAA6-49AF-96CE-8F8A2636D8B6}"/>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6141720" y="1264920"/>
          <a:ext cx="548640" cy="327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48</xdr:row>
      <xdr:rowOff>0</xdr:rowOff>
    </xdr:from>
    <xdr:to>
      <xdr:col>5</xdr:col>
      <xdr:colOff>304800</xdr:colOff>
      <xdr:row>49</xdr:row>
      <xdr:rowOff>121920</xdr:rowOff>
    </xdr:to>
    <xdr:sp macro="" textlink="">
      <xdr:nvSpPr>
        <xdr:cNvPr id="2053" name="AutoShape 5">
          <a:extLst>
            <a:ext uri="{FF2B5EF4-FFF2-40B4-BE49-F238E27FC236}">
              <a16:creationId xmlns:a16="http://schemas.microsoft.com/office/drawing/2014/main" id="{DA879C4A-101C-C329-1CD5-70C37CE3523D}"/>
            </a:ext>
          </a:extLst>
        </xdr:cNvPr>
        <xdr:cNvSpPr>
          <a:spLocks noChangeAspect="1" noChangeArrowheads="1"/>
        </xdr:cNvSpPr>
      </xdr:nvSpPr>
      <xdr:spPr bwMode="auto">
        <a:xfrm>
          <a:off x="4465320" y="8770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48</xdr:row>
      <xdr:rowOff>0</xdr:rowOff>
    </xdr:from>
    <xdr:to>
      <xdr:col>5</xdr:col>
      <xdr:colOff>304800</xdr:colOff>
      <xdr:row>49</xdr:row>
      <xdr:rowOff>121920</xdr:rowOff>
    </xdr:to>
    <xdr:sp macro="" textlink="">
      <xdr:nvSpPr>
        <xdr:cNvPr id="2054" name="AutoShape 6">
          <a:extLst>
            <a:ext uri="{FF2B5EF4-FFF2-40B4-BE49-F238E27FC236}">
              <a16:creationId xmlns:a16="http://schemas.microsoft.com/office/drawing/2014/main" id="{387F16A2-1B83-8C42-D468-82EF421CE1DF}"/>
            </a:ext>
          </a:extLst>
        </xdr:cNvPr>
        <xdr:cNvSpPr>
          <a:spLocks noChangeAspect="1" noChangeArrowheads="1"/>
        </xdr:cNvSpPr>
      </xdr:nvSpPr>
      <xdr:spPr bwMode="auto">
        <a:xfrm>
          <a:off x="4465320" y="8770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320040</xdr:colOff>
      <xdr:row>6</xdr:row>
      <xdr:rowOff>175260</xdr:rowOff>
    </xdr:from>
    <xdr:to>
      <xdr:col>11</xdr:col>
      <xdr:colOff>99060</xdr:colOff>
      <xdr:row>8</xdr:row>
      <xdr:rowOff>160020</xdr:rowOff>
    </xdr:to>
    <xdr:pic>
      <xdr:nvPicPr>
        <xdr:cNvPr id="78" name="Picture 77">
          <a:extLst>
            <a:ext uri="{FF2B5EF4-FFF2-40B4-BE49-F238E27FC236}">
              <a16:creationId xmlns:a16="http://schemas.microsoft.com/office/drawing/2014/main" id="{2CD1FE61-A9B3-40E5-BF63-075777C88CE6}"/>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7833360" y="1272540"/>
          <a:ext cx="38862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99060</xdr:colOff>
      <xdr:row>7</xdr:row>
      <xdr:rowOff>7620</xdr:rowOff>
    </xdr:from>
    <xdr:to>
      <xdr:col>13</xdr:col>
      <xdr:colOff>480060</xdr:colOff>
      <xdr:row>8</xdr:row>
      <xdr:rowOff>160020</xdr:rowOff>
    </xdr:to>
    <xdr:pic>
      <xdr:nvPicPr>
        <xdr:cNvPr id="88" name="Picture 87">
          <a:extLst>
            <a:ext uri="{FF2B5EF4-FFF2-40B4-BE49-F238E27FC236}">
              <a16:creationId xmlns:a16="http://schemas.microsoft.com/office/drawing/2014/main" id="{7B363D01-A213-423F-8C48-330C679B9F86}"/>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9441180" y="1287780"/>
          <a:ext cx="38100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6</xdr:row>
      <xdr:rowOff>144780</xdr:rowOff>
    </xdr:from>
    <xdr:to>
      <xdr:col>16</xdr:col>
      <xdr:colOff>396240</xdr:colOff>
      <xdr:row>8</xdr:row>
      <xdr:rowOff>106680</xdr:rowOff>
    </xdr:to>
    <xdr:pic>
      <xdr:nvPicPr>
        <xdr:cNvPr id="115" name="Picture 114">
          <a:extLst>
            <a:ext uri="{FF2B5EF4-FFF2-40B4-BE49-F238E27FC236}">
              <a16:creationId xmlns:a16="http://schemas.microsoft.com/office/drawing/2014/main" id="{5419BA54-4F41-4C99-9422-2BA84D40BEB7}"/>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11170920" y="1242060"/>
          <a:ext cx="396240" cy="327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412440</xdr:colOff>
      <xdr:row>6</xdr:row>
      <xdr:rowOff>113040</xdr:rowOff>
    </xdr:from>
    <xdr:to>
      <xdr:col>19</xdr:col>
      <xdr:colOff>220980</xdr:colOff>
      <xdr:row>8</xdr:row>
      <xdr:rowOff>181620</xdr:rowOff>
    </xdr:to>
    <xdr:pic>
      <xdr:nvPicPr>
        <xdr:cNvPr id="117" name="Picture 116">
          <a:extLst>
            <a:ext uri="{FF2B5EF4-FFF2-40B4-BE49-F238E27FC236}">
              <a16:creationId xmlns:a16="http://schemas.microsoft.com/office/drawing/2014/main" id="{822D37F2-5469-40B9-99D8-3997E23900F8}"/>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12802560" y="1210320"/>
          <a:ext cx="418140" cy="434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15</xdr:col>
      <xdr:colOff>579120</xdr:colOff>
      <xdr:row>29</xdr:row>
      <xdr:rowOff>137160</xdr:rowOff>
    </xdr:from>
    <xdr:ext cx="184731" cy="264560"/>
    <xdr:sp macro="" textlink="">
      <xdr:nvSpPr>
        <xdr:cNvPr id="119" name="TextBox 118">
          <a:extLst>
            <a:ext uri="{FF2B5EF4-FFF2-40B4-BE49-F238E27FC236}">
              <a16:creationId xmlns:a16="http://schemas.microsoft.com/office/drawing/2014/main" id="{465EC2B9-8C69-4870-A487-75EDD35FF8ED}"/>
            </a:ext>
          </a:extLst>
        </xdr:cNvPr>
        <xdr:cNvSpPr txBox="1"/>
      </xdr:nvSpPr>
      <xdr:spPr>
        <a:xfrm>
          <a:off x="11140440" y="5440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16</xdr:col>
      <xdr:colOff>121920</xdr:colOff>
      <xdr:row>30</xdr:row>
      <xdr:rowOff>106680</xdr:rowOff>
    </xdr:from>
    <xdr:ext cx="184731" cy="264560"/>
    <xdr:sp macro="" textlink="">
      <xdr:nvSpPr>
        <xdr:cNvPr id="121" name="TextBox 120">
          <a:extLst>
            <a:ext uri="{FF2B5EF4-FFF2-40B4-BE49-F238E27FC236}">
              <a16:creationId xmlns:a16="http://schemas.microsoft.com/office/drawing/2014/main" id="{997B8A8E-2D6B-4E2D-B46D-E6E8517C51C8}"/>
            </a:ext>
          </a:extLst>
        </xdr:cNvPr>
        <xdr:cNvSpPr txBox="1"/>
      </xdr:nvSpPr>
      <xdr:spPr>
        <a:xfrm>
          <a:off x="11292840" y="5593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16</xdr:col>
      <xdr:colOff>243840</xdr:colOff>
      <xdr:row>37</xdr:row>
      <xdr:rowOff>99060</xdr:rowOff>
    </xdr:from>
    <xdr:ext cx="1341120" cy="182880"/>
    <xdr:sp macro="" textlink="'Pivot Report'!M23">
      <xdr:nvSpPr>
        <xdr:cNvPr id="123" name="TextBox 122">
          <a:extLst>
            <a:ext uri="{FF2B5EF4-FFF2-40B4-BE49-F238E27FC236}">
              <a16:creationId xmlns:a16="http://schemas.microsoft.com/office/drawing/2014/main" id="{7562665F-976E-44D9-8E45-95CDCBE1C382}"/>
            </a:ext>
          </a:extLst>
        </xdr:cNvPr>
        <xdr:cNvSpPr txBox="1"/>
      </xdr:nvSpPr>
      <xdr:spPr>
        <a:xfrm>
          <a:off x="11414760" y="6858000"/>
          <a:ext cx="134112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D1632762-A68E-4C61-A204-D88DD4F8EEEB}" type="TxLink">
            <a:rPr lang="en-US" sz="1000" b="0" i="0" u="none" strike="noStrike">
              <a:solidFill>
                <a:srgbClr val="000000"/>
              </a:solidFill>
              <a:latin typeface="Saoge ui"/>
            </a:rPr>
            <a:pPr/>
            <a:t>Antihistamines</a:t>
          </a:fld>
          <a:endParaRPr lang="en-IN" sz="1000">
            <a:latin typeface="Saoge ui"/>
          </a:endParaRPr>
        </a:p>
      </xdr:txBody>
    </xdr:sp>
    <xdr:clientData/>
  </xdr:oneCellAnchor>
</xdr:wsDr>
</file>

<file path=xl/drawings/drawing3.xml><?xml version="1.0" encoding="utf-8"?>
<c:userShapes xmlns:c="http://schemas.openxmlformats.org/drawingml/2006/chart">
  <cdr:relSizeAnchor xmlns:cdr="http://schemas.openxmlformats.org/drawingml/2006/chartDrawing">
    <cdr:from>
      <cdr:x>0.07692</cdr:x>
      <cdr:y>0</cdr:y>
    </cdr:from>
    <cdr:to>
      <cdr:x>0.31624</cdr:x>
      <cdr:y>0.63492</cdr:y>
    </cdr:to>
    <cdr:pic>
      <cdr:nvPicPr>
        <cdr:cNvPr id="3" name="Graphic 2" descr="List with solid fill">
          <a:extLst xmlns:a="http://schemas.openxmlformats.org/drawingml/2006/main">
            <a:ext uri="{FF2B5EF4-FFF2-40B4-BE49-F238E27FC236}">
              <a16:creationId xmlns:a16="http://schemas.microsoft.com/office/drawing/2014/main" id="{551CCB09-AAEF-1DC4-9C7F-2C1C85D61A9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37160" y="0"/>
          <a:ext cx="426720" cy="30480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99060</xdr:rowOff>
    </xdr:from>
    <xdr:to>
      <xdr:col>17</xdr:col>
      <xdr:colOff>327660</xdr:colOff>
      <xdr:row>30</xdr:row>
      <xdr:rowOff>45720</xdr:rowOff>
    </xdr:to>
    <xdr:graphicFrame macro="">
      <xdr:nvGraphicFramePr>
        <xdr:cNvPr id="2" name="Chart 1">
          <a:extLst>
            <a:ext uri="{FF2B5EF4-FFF2-40B4-BE49-F238E27FC236}">
              <a16:creationId xmlns:a16="http://schemas.microsoft.com/office/drawing/2014/main" id="{4C6F202F-C85B-449B-86E6-C7160C739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2</xdr:row>
      <xdr:rowOff>99060</xdr:rowOff>
    </xdr:from>
    <xdr:to>
      <xdr:col>0</xdr:col>
      <xdr:colOff>472440</xdr:colOff>
      <xdr:row>5</xdr:row>
      <xdr:rowOff>60960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3EA164D8-E24F-B4F2-F1B2-6426D016B4A8}"/>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l="2128" t="-9805" r="-12767" b="-21568"/>
        <a:stretch>
          <a:fillRect/>
        </a:stretch>
      </xdr:blipFill>
      <xdr:spPr>
        <a:xfrm>
          <a:off x="76200" y="464820"/>
          <a:ext cx="396240" cy="5105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22860</xdr:rowOff>
    </xdr:from>
    <xdr:to>
      <xdr:col>18</xdr:col>
      <xdr:colOff>251460</xdr:colOff>
      <xdr:row>29</xdr:row>
      <xdr:rowOff>114300</xdr:rowOff>
    </xdr:to>
    <xdr:graphicFrame macro="">
      <xdr:nvGraphicFramePr>
        <xdr:cNvPr id="2" name="Chart 1">
          <a:extLst>
            <a:ext uri="{FF2B5EF4-FFF2-40B4-BE49-F238E27FC236}">
              <a16:creationId xmlns:a16="http://schemas.microsoft.com/office/drawing/2014/main" id="{CA26111F-3C3E-4BFA-96E4-98E72AE69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0.00679</cdr:x>
      <cdr:y>0.00706</cdr:y>
    </cdr:from>
    <cdr:to>
      <cdr:x>0.04073</cdr:x>
      <cdr:y>0.08898</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53C557E-1FA2-E645-72BA-43545069BA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6200" y="38100"/>
          <a:ext cx="381000" cy="44196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22860</xdr:rowOff>
    </xdr:from>
    <xdr:to>
      <xdr:col>17</xdr:col>
      <xdr:colOff>68580</xdr:colOff>
      <xdr:row>31</xdr:row>
      <xdr:rowOff>68580</xdr:rowOff>
    </xdr:to>
    <xdr:graphicFrame macro="">
      <xdr:nvGraphicFramePr>
        <xdr:cNvPr id="2" name="Chart 1">
          <a:extLst>
            <a:ext uri="{FF2B5EF4-FFF2-40B4-BE49-F238E27FC236}">
              <a16:creationId xmlns:a16="http://schemas.microsoft.com/office/drawing/2014/main" id="{FC868AE2-788A-47C7-A043-067055D62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563880</xdr:colOff>
      <xdr:row>2</xdr:row>
      <xdr:rowOff>160020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F4C6AC06-55D3-6093-2284-48D33843E853}"/>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l="-32654" t="-56815" r="-18367" b="2273"/>
        <a:stretch>
          <a:fillRect/>
        </a:stretch>
      </xdr:blipFill>
      <xdr:spPr>
        <a:xfrm>
          <a:off x="0" y="0"/>
          <a:ext cx="563880" cy="5181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15240</xdr:colOff>
      <xdr:row>0</xdr:row>
      <xdr:rowOff>7620</xdr:rowOff>
    </xdr:from>
    <xdr:to>
      <xdr:col>18</xdr:col>
      <xdr:colOff>342900</xdr:colOff>
      <xdr:row>32</xdr:row>
      <xdr:rowOff>83820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2E79951D-02E1-4980-9BE8-10E7F5509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0.01269</cdr:x>
      <cdr:y>0.06989</cdr:y>
    </cdr:from>
    <cdr:to>
      <cdr:x>0.03924</cdr:x>
      <cdr:y>0.09511</cdr:y>
    </cdr:to>
    <cdr:sp macro="" textlink="">
      <cdr:nvSpPr>
        <cdr:cNvPr id="5" name="Freeform: Shape 4">
          <a:extLst xmlns:a="http://schemas.openxmlformats.org/drawingml/2006/main">
            <a:ext uri="{FF2B5EF4-FFF2-40B4-BE49-F238E27FC236}">
              <a16:creationId xmlns:a16="http://schemas.microsoft.com/office/drawing/2014/main" id="{C370FC77-BB98-A36D-2378-C5C2179AFC5B}"/>
            </a:ext>
          </a:extLst>
        </cdr:cNvPr>
        <cdr:cNvSpPr/>
      </cdr:nvSpPr>
      <cdr:spPr>
        <a:xfrm xmlns:a="http://schemas.openxmlformats.org/drawingml/2006/main">
          <a:off x="143351" y="414337"/>
          <a:ext cx="300037" cy="149494"/>
        </a:xfrm>
        <a:custGeom xmlns:a="http://schemas.openxmlformats.org/drawingml/2006/main">
          <a:avLst/>
          <a:gdLst>
            <a:gd name="csX0" fmla="*/ 235744 w 300037"/>
            <a:gd name="csY0" fmla="*/ 77819 h 149494"/>
            <a:gd name="csX1" fmla="*/ 235744 w 300037"/>
            <a:gd name="csY1" fmla="*/ 20479 h 149494"/>
            <a:gd name="csX2" fmla="*/ 207169 w 300037"/>
            <a:gd name="csY2" fmla="*/ 20479 h 149494"/>
            <a:gd name="csX3" fmla="*/ 207169 w 300037"/>
            <a:gd name="csY3" fmla="*/ 51880 h 149494"/>
            <a:gd name="csX4" fmla="*/ 150019 w 300037"/>
            <a:gd name="csY4" fmla="*/ 0 h 149494"/>
            <a:gd name="csX5" fmla="*/ 150019 w 300037"/>
            <a:gd name="csY5" fmla="*/ 0 h 149494"/>
            <a:gd name="csX6" fmla="*/ 0 w 300037"/>
            <a:gd name="csY6" fmla="*/ 136525 h 149494"/>
            <a:gd name="csX7" fmla="*/ 16073 w 300037"/>
            <a:gd name="csY7" fmla="*/ 149495 h 149494"/>
            <a:gd name="csX8" fmla="*/ 150019 w 300037"/>
            <a:gd name="csY8" fmla="*/ 27988 h 149494"/>
            <a:gd name="csX9" fmla="*/ 150019 w 300037"/>
            <a:gd name="csY9" fmla="*/ 27988 h 149494"/>
            <a:gd name="csX10" fmla="*/ 283964 w 300037"/>
            <a:gd name="csY10" fmla="*/ 149495 h 149494"/>
            <a:gd name="csX11" fmla="*/ 300038 w 300037"/>
            <a:gd name="csY11" fmla="*/ 136525 h 14949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300037" h="149494">
              <a:moveTo>
                <a:pt x="235744" y="77819"/>
              </a:moveTo>
              <a:lnTo>
                <a:pt x="235744" y="20479"/>
              </a:lnTo>
              <a:lnTo>
                <a:pt x="207169" y="20479"/>
              </a:lnTo>
              <a:lnTo>
                <a:pt x="207169" y="51880"/>
              </a:lnTo>
              <a:lnTo>
                <a:pt x="150019" y="0"/>
              </a:lnTo>
              <a:lnTo>
                <a:pt x="150019" y="0"/>
              </a:lnTo>
              <a:lnTo>
                <a:pt x="0" y="136525"/>
              </a:lnTo>
              <a:lnTo>
                <a:pt x="16073" y="149495"/>
              </a:lnTo>
              <a:lnTo>
                <a:pt x="150019" y="27988"/>
              </a:lnTo>
              <a:lnTo>
                <a:pt x="150019" y="27988"/>
              </a:lnTo>
              <a:lnTo>
                <a:pt x="283964" y="149495"/>
              </a:lnTo>
              <a:lnTo>
                <a:pt x="300038" y="136525"/>
              </a:lnTo>
              <a:close/>
            </a:path>
          </a:pathLst>
        </a:custGeom>
        <a:solidFill xmlns:a="http://schemas.openxmlformats.org/drawingml/2006/main">
          <a:schemeClr val="lt1"/>
        </a:solidFill>
        <a:ln xmlns:a="http://schemas.openxmlformats.org/drawingml/2006/main" w="4762" cap="flat">
          <a:solidFill>
            <a:schemeClr val="accent1"/>
          </a:solidFill>
          <a:prstDash val="solid"/>
          <a:miter/>
        </a:ln>
      </cdr:spPr>
    </cdr:sp>
  </cdr:relSizeAnchor>
  <cdr:relSizeAnchor xmlns:cdr="http://schemas.openxmlformats.org/drawingml/2006/chartDrawing">
    <cdr:from>
      <cdr:x>0.01648</cdr:x>
      <cdr:y>0.07784</cdr:y>
    </cdr:from>
    <cdr:to>
      <cdr:x>0.03544</cdr:x>
      <cdr:y>0.11134</cdr:y>
    </cdr:to>
    <cdr:sp macro="" textlink="">
      <cdr:nvSpPr>
        <cdr:cNvPr id="6" name="Freeform: Shape 5">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1C7FBA4-BB24-6D1C-5F7E-D7FDC5122214}"/>
            </a:ext>
          </a:extLst>
        </cdr:cNvPr>
        <cdr:cNvSpPr/>
      </cdr:nvSpPr>
      <cdr:spPr>
        <a:xfrm xmlns:a="http://schemas.openxmlformats.org/drawingml/2006/main">
          <a:off x="186213" y="461438"/>
          <a:ext cx="214312" cy="198643"/>
        </a:xfrm>
        <a:custGeom xmlns:a="http://schemas.openxmlformats.org/drawingml/2006/main">
          <a:avLst/>
          <a:gdLst>
            <a:gd name="csX0" fmla="*/ 0 w 214312"/>
            <a:gd name="csY0" fmla="*/ 97274 h 198643"/>
            <a:gd name="csX1" fmla="*/ 0 w 214312"/>
            <a:gd name="csY1" fmla="*/ 198644 h 198643"/>
            <a:gd name="csX2" fmla="*/ 85725 w 214312"/>
            <a:gd name="csY2" fmla="*/ 198644 h 198643"/>
            <a:gd name="csX3" fmla="*/ 85725 w 214312"/>
            <a:gd name="csY3" fmla="*/ 113316 h 198643"/>
            <a:gd name="csX4" fmla="*/ 128588 w 214312"/>
            <a:gd name="csY4" fmla="*/ 113316 h 198643"/>
            <a:gd name="csX5" fmla="*/ 128588 w 214312"/>
            <a:gd name="csY5" fmla="*/ 198644 h 198643"/>
            <a:gd name="csX6" fmla="*/ 214313 w 214312"/>
            <a:gd name="csY6" fmla="*/ 198644 h 198643"/>
            <a:gd name="csX7" fmla="*/ 214313 w 214312"/>
            <a:gd name="csY7" fmla="*/ 97274 h 198643"/>
            <a:gd name="csX8" fmla="*/ 107156 w 214312"/>
            <a:gd name="csY8" fmla="*/ 0 h 198643"/>
            <a:gd name="csX9" fmla="*/ 0 w 214312"/>
            <a:gd name="csY9" fmla="*/ 97274 h 198643"/>
            <a:gd name="csX10" fmla="*/ 64294 w 214312"/>
            <a:gd name="csY10" fmla="*/ 154273 h 198643"/>
            <a:gd name="csX11" fmla="*/ 21431 w 214312"/>
            <a:gd name="csY11" fmla="*/ 154273 h 198643"/>
            <a:gd name="csX12" fmla="*/ 21431 w 214312"/>
            <a:gd name="csY12" fmla="*/ 113316 h 198643"/>
            <a:gd name="csX13" fmla="*/ 64294 w 214312"/>
            <a:gd name="csY13" fmla="*/ 113316 h 198643"/>
            <a:gd name="csX14" fmla="*/ 64294 w 214312"/>
            <a:gd name="csY14" fmla="*/ 154273 h 198643"/>
            <a:gd name="csX15" fmla="*/ 150019 w 214312"/>
            <a:gd name="csY15" fmla="*/ 113316 h 198643"/>
            <a:gd name="csX16" fmla="*/ 192881 w 214312"/>
            <a:gd name="csY16" fmla="*/ 113316 h 198643"/>
            <a:gd name="csX17" fmla="*/ 192881 w 214312"/>
            <a:gd name="csY17" fmla="*/ 154273 h 198643"/>
            <a:gd name="csX18" fmla="*/ 150019 w 214312"/>
            <a:gd name="csY18" fmla="*/ 154273 h 198643"/>
            <a:gd name="csX19" fmla="*/ 150019 w 214312"/>
            <a:gd name="csY19" fmla="*/ 113316 h 198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Lst>
          <a:rect l="l" t="t" r="r" b="b"/>
          <a:pathLst>
            <a:path w="214312" h="198643">
              <a:moveTo>
                <a:pt x="0" y="97274"/>
              </a:moveTo>
              <a:lnTo>
                <a:pt x="0" y="198644"/>
              </a:lnTo>
              <a:lnTo>
                <a:pt x="85725" y="198644"/>
              </a:lnTo>
              <a:lnTo>
                <a:pt x="85725" y="113316"/>
              </a:lnTo>
              <a:lnTo>
                <a:pt x="128588" y="113316"/>
              </a:lnTo>
              <a:lnTo>
                <a:pt x="128588" y="198644"/>
              </a:lnTo>
              <a:lnTo>
                <a:pt x="214313" y="198644"/>
              </a:lnTo>
              <a:lnTo>
                <a:pt x="214313" y="97274"/>
              </a:lnTo>
              <a:lnTo>
                <a:pt x="107156" y="0"/>
              </a:lnTo>
              <a:lnTo>
                <a:pt x="0" y="97274"/>
              </a:lnTo>
              <a:close/>
              <a:moveTo>
                <a:pt x="64294" y="154273"/>
              </a:moveTo>
              <a:lnTo>
                <a:pt x="21431" y="154273"/>
              </a:lnTo>
              <a:lnTo>
                <a:pt x="21431" y="113316"/>
              </a:lnTo>
              <a:lnTo>
                <a:pt x="64294" y="113316"/>
              </a:lnTo>
              <a:lnTo>
                <a:pt x="64294" y="154273"/>
              </a:lnTo>
              <a:close/>
              <a:moveTo>
                <a:pt x="150019" y="113316"/>
              </a:moveTo>
              <a:lnTo>
                <a:pt x="192881" y="113316"/>
              </a:lnTo>
              <a:lnTo>
                <a:pt x="192881" y="154273"/>
              </a:lnTo>
              <a:lnTo>
                <a:pt x="150019" y="154273"/>
              </a:lnTo>
              <a:lnTo>
                <a:pt x="150019" y="113316"/>
              </a:lnTo>
              <a:close/>
            </a:path>
          </a:pathLst>
        </a:custGeom>
        <a:solidFill xmlns:a="http://schemas.openxmlformats.org/drawingml/2006/main">
          <a:schemeClr val="lt1"/>
        </a:solidFill>
        <a:ln xmlns:a="http://schemas.openxmlformats.org/drawingml/2006/main" w="4762" cap="flat">
          <a:solidFill>
            <a:schemeClr val="accent1"/>
          </a:solidFill>
          <a:prstDash val="solid"/>
          <a:miter/>
        </a:ln>
      </cdr:spPr>
      <cdr:txBody>
        <a:bodyPr xmlns:a="http://schemas.openxmlformats.org/drawingml/2006/main"/>
        <a:lstStyle xmlns:a="http://schemas.openxmlformats.org/drawingml/2006/main"/>
        <a:p xmlns:a="http://schemas.openxmlformats.org/drawingml/2006/main">
          <a:endParaRPr lang="en-IN"/>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5925925" createdVersion="5" refreshedVersion="8" minRefreshableVersion="3" recordCount="0" supportSubquery="1" supportAdvancedDrill="1" xr:uid="{DF74147E-C77C-4493-9D9E-BE19687B61CC}">
  <cacheSource type="external" connectionId="3"/>
  <cacheFields count="8">
    <cacheField name="[Measures].[Distinct Count of Patient ID]" caption="Distinct Count of Patient ID" numFmtId="0" hierarchy="25" level="32767"/>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5"/>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2"/>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3"/>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6504633" createdVersion="5" refreshedVersion="8" minRefreshableVersion="3" recordCount="0" supportSubquery="1" supportAdvancedDrill="1" xr:uid="{1375622C-56EE-495D-840E-902515B90429}">
  <cacheSource type="external" connectionId="3"/>
  <cacheFields count="8">
    <cacheField name="[Calender Date].[Date (Month)].[Date (Month)]" caption="Date (Month)" numFmtId="0" hierarchy="2" level="1">
      <sharedItems containsSemiMixedTypes="0" containsNonDate="0" containsString="0"/>
    </cacheField>
    <cacheField name="[Calender Date].[Date (Year)].[Date (Year)]" caption="Date (Year)" numFmtId="0" hierarchy="1" level="1">
      <sharedItems count="1">
        <s v="2023"/>
      </sharedItems>
    </cacheField>
    <cacheField name="[Measures].[Sum of Bill Amount]" caption="Sum of Bill Amount" numFmtId="0" hierarchy="26" level="32767"/>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hospital_records_2021_2024_with_bills].[Admit Year].[Admit Year]" caption="Admit Year" numFmtId="0" hierarchy="16"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hospital_records_2021_2024_with_bills].[Admit Year].&amp;[2022]"/>
          </x15:cachedUniqueNames>
        </ext>
      </extLst>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3"/>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4"/>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5"/>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oneField="1" hidden="1">
      <fieldsUsage count="1">
        <fieldUsage x="2"/>
      </fieldsUsage>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6851848" createdVersion="5" refreshedVersion="8" minRefreshableVersion="3" recordCount="0" supportSubquery="1" supportAdvancedDrill="1" xr:uid="{4EFB0C57-E361-43A6-A60F-1D6740DD5956}">
  <cacheSource type="external" connectionId="3"/>
  <cacheFields count="8">
    <cacheField name="[hospital_records_2021_2024_with_bills].[Gender].[Gender]" caption="Gender" numFmtId="0" hierarchy="7" level="1">
      <sharedItems count="1">
        <s v="Male"/>
      </sharedItems>
    </cacheField>
    <cacheField name="[Measures].[Count of Gender]" caption="Count of Gender" numFmtId="0" hierarchy="33" level="32767"/>
    <cacheField name="[Calender Date].[Date (Year)].[Date (Year)]" caption="Date (Year)" numFmtId="0" hierarchy="1"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2"/>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5"/>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0"/>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3"/>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7083333" createdVersion="5" refreshedVersion="8" minRefreshableVersion="3" recordCount="0" supportSubquery="1" supportAdvancedDrill="1" xr:uid="{B352D76D-3AA4-43F3-B0FF-732DCF688B0B}">
  <cacheSource type="external" connectionId="3"/>
  <cacheFields count="8">
    <cacheField name="[Measures].[Distinct Count of Medical Condition]" caption="Distinct Count of Medical Condition" numFmtId="0" hierarchy="35" level="32767"/>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4"/>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2"/>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3"/>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5"/>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7199072" createdVersion="5" refreshedVersion="8" minRefreshableVersion="3" recordCount="0" supportSubquery="1" supportAdvancedDrill="1" xr:uid="{CCBA0099-1FFC-4621-A29C-6FC748A655C5}">
  <cacheSource type="external" connectionId="3"/>
  <cacheFields count="8">
    <cacheField name="[Measures].[Distinct Count of Treatments]" caption="Distinct Count of Treatments" numFmtId="0" hierarchy="37" level="32767"/>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4"/>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2"/>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3"/>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5"/>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7662034" createdVersion="5" refreshedVersion="8" minRefreshableVersion="3" recordCount="0" supportSubquery="1" supportAdvancedDrill="1" xr:uid="{BC88ABD0-656E-43AB-81B9-BFDF65674E5E}">
  <cacheSource type="external" connectionId="3"/>
  <cacheFields count="8">
    <cacheField name="[Measures].[Distinct Count of Patient ID]" caption="Distinct Count of Patient ID" numFmtId="0" hierarchy="25" level="32767"/>
    <cacheField name="[Calender Date].[Date (Month)].[Date (Month)]" caption="Date (Month)" numFmtId="0" hierarchy="2" level="1">
      <sharedItems count="1">
        <s v="Jan"/>
      </sharedItems>
    </cacheField>
    <cacheField name="[Calender Date].[Date (Year)].[Date (Year)]" caption="Date (Year)" numFmtId="0" hierarchy="1" level="1">
      <sharedItems count="1">
        <s v="2023"/>
      </sharedItems>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Date="1" containsString="0" minDate="2024-01-02T00:00:00" maxDate="2024-07-12T00:00:00" count="121">
        <d v="2024-01-02T00:00:00"/>
        <d v="2024-01-04T00:00:00"/>
        <d v="2024-01-05T00:00:00"/>
        <d v="2024-01-08T00:00:00"/>
        <d v="2024-01-09T00:00:00"/>
        <d v="2024-01-10T00:00:00"/>
        <d v="2024-01-11T00:00:00"/>
        <d v="2024-01-13T00:00:00"/>
        <d v="2024-01-15T00:00:00"/>
        <d v="2024-01-16T00:00:00"/>
        <d v="2024-01-18T00:00:00"/>
        <d v="2024-01-22T00:00:00"/>
        <d v="2024-01-23T00:00:00"/>
        <d v="2024-01-24T00:00:00"/>
        <d v="2024-01-25T00:00:00"/>
        <d v="2024-01-26T00:00:00"/>
        <d v="2024-01-27T00:00:00"/>
        <d v="2024-01-28T00:00:00"/>
        <d v="2024-01-30T00:00:00"/>
        <d v="2024-01-31T00:00:00"/>
        <d v="2024-02-01T00:00:00"/>
        <d v="2024-02-02T00:00:00"/>
        <d v="2024-02-03T00:00:00"/>
        <d v="2024-02-04T00:00:00"/>
        <d v="2024-02-06T00:00:00"/>
        <d v="2024-02-09T00:00:00"/>
        <d v="2024-02-11T00:00:00"/>
        <d v="2024-02-12T00:00:00"/>
        <d v="2024-02-13T00:00:00"/>
        <d v="2024-02-14T00:00:00"/>
        <d v="2024-02-15T00:00:00"/>
        <d v="2024-02-16T00:00:00"/>
        <d v="2024-02-17T00:00:00"/>
        <d v="2024-02-18T00:00:00"/>
        <d v="2024-02-19T00:00:00"/>
        <d v="2024-02-22T00:00:00"/>
        <d v="2024-02-28T00:00:00"/>
        <d v="2024-03-01T00:00:00"/>
        <d v="2024-03-02T00:00:00"/>
        <d v="2024-03-03T00:00:00"/>
        <d v="2024-03-04T00:00:00"/>
        <d v="2024-03-05T00:00:00"/>
        <d v="2024-03-06T00:00:00"/>
        <d v="2024-03-07T00:00:00"/>
        <d v="2024-03-08T00:00:00"/>
        <d v="2024-03-09T00:00:00"/>
        <d v="2024-03-10T00:00:00"/>
        <d v="2024-03-11T00:00:00"/>
        <d v="2024-03-13T00:00:00"/>
        <d v="2024-03-14T00:00:00"/>
        <d v="2024-03-16T00:00:00"/>
        <d v="2024-03-17T00:00:00"/>
        <d v="2024-03-19T00:00:00"/>
        <d v="2024-03-20T00:00:00"/>
        <d v="2024-03-21T00:00:00"/>
        <d v="2024-03-22T00:00:00"/>
        <d v="2024-03-24T00:00:00"/>
        <d v="2024-03-26T00:00:00"/>
        <d v="2024-03-29T00:00:00"/>
        <d v="2024-03-30T00:00:00"/>
        <d v="2024-03-31T00:00:00"/>
        <d v="2024-04-03T00:00:00"/>
        <d v="2024-04-05T00:00:00"/>
        <d v="2024-04-06T00:00:00"/>
        <d v="2024-04-09T00:00:00"/>
        <d v="2024-04-10T00:00:00"/>
        <d v="2024-04-12T00:00:00"/>
        <d v="2024-04-14T00:00:00"/>
        <d v="2024-04-16T00:00:00"/>
        <d v="2024-04-17T00:00:00"/>
        <d v="2024-04-18T00:00:00"/>
        <d v="2024-04-19T00:00:00"/>
        <d v="2024-04-21T00:00:00"/>
        <d v="2024-04-22T00:00:00"/>
        <d v="2024-04-23T00:00:00"/>
        <d v="2024-04-24T00:00:00"/>
        <d v="2024-04-29T00:00:00"/>
        <d v="2024-04-30T00:00:00"/>
        <d v="2024-05-02T00:00:00"/>
        <d v="2024-05-03T00:00:00"/>
        <d v="2024-05-04T00:00:00"/>
        <d v="2024-05-05T00:00:00"/>
        <d v="2024-05-06T00:00:00"/>
        <d v="2024-05-10T00:00:00"/>
        <d v="2024-05-12T00:00:00"/>
        <d v="2024-05-14T00:00:00"/>
        <d v="2024-05-15T00:00:00"/>
        <d v="2024-05-16T00:00:00"/>
        <d v="2024-05-17T00:00:00"/>
        <d v="2024-05-18T00:00:00"/>
        <d v="2024-05-19T00:00:00"/>
        <d v="2024-05-21T00:00:00"/>
        <d v="2024-05-24T00:00:00"/>
        <d v="2024-05-26T00:00:00"/>
        <d v="2024-05-28T00:00:00"/>
        <d v="2024-05-29T00:00:00"/>
        <d v="2024-05-30T00:00:00"/>
        <d v="2024-05-31T00:00:00"/>
        <d v="2024-06-02T00:00:00"/>
        <d v="2024-06-03T00:00:00"/>
        <d v="2024-06-06T00:00:00"/>
        <d v="2024-06-08T00:00:00"/>
        <d v="2024-06-11T00:00:00"/>
        <d v="2024-06-12T00:00:00"/>
        <d v="2024-06-13T00:00:00"/>
        <d v="2024-06-15T00:00:00"/>
        <d v="2024-06-16T00:00:00"/>
        <d v="2024-06-18T00:00:00"/>
        <d v="2024-06-19T00:00:00"/>
        <d v="2024-06-20T00:00:00"/>
        <d v="2024-06-23T00:00:00"/>
        <d v="2024-06-24T00:00:00"/>
        <d v="2024-06-25T00:00:00"/>
        <d v="2024-06-30T00:00:00"/>
        <d v="2024-07-01T00:00:00"/>
        <d v="2024-07-02T00:00:00"/>
        <d v="2024-07-03T00:00:00"/>
        <d v="2024-07-04T00:00:00"/>
        <d v="2024-07-05T00:00:00"/>
        <d v="2024-07-08T00:00:00"/>
        <d v="2024-07-11T00:00:00"/>
      </sharedItems>
    </cacheField>
    <cacheField name="[hospital_records_2021_2024_with_bills].[Admit Year].[Admit Year]" caption="Admit Year" numFmtId="0" hierarchy="16"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hospital_records_2021_2024_with_bills].[Admit Year].&amp;[2022]"/>
          </x15:cachedUniqueNames>
        </ext>
      </extLst>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2"/>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1"/>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3"/>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4"/>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5"/>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8009257" createdVersion="5" refreshedVersion="8" minRefreshableVersion="3" recordCount="0" supportSubquery="1" supportAdvancedDrill="1" xr:uid="{8BAAD15B-DF05-46B9-8F49-937DAE895C20}">
  <cacheSource type="external" connectionId="3"/>
  <cacheFields count="8">
    <cacheField name="[Calender Date].[Date (Year)].[Date (Year)]" caption="Date (Year)" numFmtId="0" hierarchy="1" level="1">
      <sharedItems containsSemiMixedTypes="0" containsNonDate="0" containsString="0"/>
    </cacheField>
    <cacheField name="[hospital_records_2021_2024_with_bills].[Medical Condition].[Medical Condition]" caption="Medical Condition" numFmtId="0" hierarchy="8" level="1">
      <sharedItems count="29">
        <s v="Allergies"/>
        <s v="Urinary Tract Infection" u="1"/>
        <s v="Diabetes" u="1"/>
        <s v="Asthma" u="1"/>
        <s v="Alzheimer's Disease" u="1"/>
        <s v="Skin Infection" u="1"/>
        <s v="Stroke" u="1"/>
        <s v="Sprain" u="1"/>
        <s v="Anxiety" u="1"/>
        <s v="Arthritis" u="1"/>
        <s v="Bronchitis" u="1"/>
        <s v="Burns" u="1"/>
        <s v="Cancer" u="1"/>
        <s v="Chronic Kidney Disease" u="1"/>
        <s v="Chronic Obstructive Pulmonary Disease" u="1"/>
        <s v="Common Cold" u="1"/>
        <s v="COVID-19" u="1"/>
        <s v="Depression" u="1"/>
        <s v="Epilepsy" u="1"/>
        <s v="Fracture" u="1"/>
        <s v="Gastroenteritis" u="1"/>
        <s v="Heart Disease" u="1"/>
        <s v="Hypertension" u="1"/>
        <s v="Influenza" u="1"/>
        <s v="Migraine" u="1"/>
        <s v="Multiple Sclerosis" u="1"/>
        <s v="Parkinson's Disease" u="1"/>
        <s v="Pneumonia" u="1"/>
        <s v="Sinusitis" u="1"/>
      </sharedItems>
    </cacheField>
    <cacheField name="[Measures].[Sum of Bill Amount]" caption="Sum of Bill Amount" numFmtId="0" hierarchy="26" level="32767"/>
    <cacheField name="[hospital_records_2021_2024_with_bills].[Gender].[Gender]" caption="Gender" numFmtId="0" hierarchy="7"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5"/>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3"/>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1"/>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oneField="1" hidden="1">
      <fieldsUsage count="1">
        <fieldUsage x="2"/>
      </fieldsUsage>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835648" createdVersion="5" refreshedVersion="8" minRefreshableVersion="3" recordCount="0" supportSubquery="1" supportAdvancedDrill="1" xr:uid="{08D2FC78-81D0-4BE5-9A6B-BE45ED124FE9}">
  <cacheSource type="external" connectionId="3"/>
  <cacheFields count="9">
    <cacheField name="[Calender Date].[Date (Year)].[Date (Year)]" caption="Date (Year)" numFmtId="0" hierarchy="1" level="1">
      <sharedItems containsSemiMixedTypes="0" containsNonDate="0" containsString="0"/>
    </cacheField>
    <cacheField name="[hospital_records_2021_2024_with_bills].[Treatments].[Treatments]" caption="Treatments" numFmtId="0" hierarchy="9" level="1">
      <sharedItems count="1">
        <s v="Antihistamines"/>
      </sharedItems>
    </cacheField>
    <cacheField name="[Measures].[Count of Patient ID]" caption="Count of Patient ID" numFmtId="0" hierarchy="24" level="32767"/>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6"/>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3"/>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4"/>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2" memberValueDatatype="130" unbalanced="0">
      <fieldsUsage count="2">
        <fieldUsage x="-1"/>
        <fieldUsage x="1"/>
      </fieldsUsage>
    </cacheHierarchy>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5"/>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7"/>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8"/>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8703703" createdVersion="5" refreshedVersion="8" minRefreshableVersion="3" recordCount="0" supportSubquery="1" supportAdvancedDrill="1" xr:uid="{7E422F35-F408-484F-8B65-8571A5220A54}">
  <cacheSource type="external" connectionId="3"/>
  <cacheFields count="9">
    <cacheField name="[Calender Date].[Date (Year)].[Date (Year)]" caption="Date (Year)" numFmtId="0" hierarchy="1" level="1">
      <sharedItems containsSemiMixedTypes="0" containsNonDate="0" containsString="0"/>
    </cacheField>
    <cacheField name="[hospital_records_2021_2024_with_bills].[Treatments].[Treatments]" caption="Treatments" numFmtId="0" hierarchy="9" level="1">
      <sharedItems count="1">
        <s v="Antihistamines"/>
      </sharedItems>
    </cacheField>
    <cacheField name="[Measures].[Average of Bill Amount]" caption="Average of Bill Amount" numFmtId="0" hierarchy="27" level="32767"/>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6"/>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3"/>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4"/>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2" memberValueDatatype="130" unbalanced="0">
      <fieldsUsage count="2">
        <fieldUsage x="-1"/>
        <fieldUsage x="1"/>
      </fieldsUsage>
    </cacheHierarchy>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5"/>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7"/>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8"/>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oneField="1" hidden="1">
      <fieldsUsage count="1">
        <fieldUsage x="2"/>
      </fieldsUsage>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9050927" createdVersion="5" refreshedVersion="8" minRefreshableVersion="3" recordCount="0" supportSubquery="1" supportAdvancedDrill="1" xr:uid="{5790FD6A-D420-4EAC-8C71-4C155AFBF310}">
  <cacheSource type="external" connectionId="3"/>
  <cacheFields count="8">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unt="2">
        <s v="Male"/>
        <s v="Female" u="1"/>
      </sharedItems>
    </cacheField>
    <cacheField name="[Measures].[Count of Patient ID]" caption="Count of Patient ID" numFmtId="0" hierarchy="24" level="32767"/>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5"/>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1"/>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3"/>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9282404" createdVersion="5" refreshedVersion="8" minRefreshableVersion="3" recordCount="0" supportSubquery="1" supportAdvancedDrill="1" xr:uid="{F8907199-E4CC-4E41-8AAA-E52248EC2EDD}">
  <cacheSource type="external" connectionId="3"/>
  <cacheFields count="8">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Calender Date].[Date (Month)].[Date (Month)]" caption="Date (Month)" numFmtId="0" hierarchy="2" level="1">
      <sharedItems containsSemiMixedTypes="0" containsNonDate="0" containsString="0"/>
    </cacheField>
    <cacheField name="[Measures].[Max of Bill Amount]" caption="Max of Bill Amount" numFmtId="0" hierarchy="28" level="32767"/>
    <cacheField name="[hospital_records_2021_2024_with_bills].[Admit Date].[Admit Date]" caption="Admit Date" numFmtId="0" hierarchy="11"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1"/>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2"/>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5"/>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oneField="1" hidden="1">
      <fieldsUsage count="1">
        <fieldUsage x="4"/>
      </fieldsUsage>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939815" createdVersion="5" refreshedVersion="8" minRefreshableVersion="3" recordCount="0" supportSubquery="1" supportAdvancedDrill="1" xr:uid="{DC7106F6-FCB8-4717-8942-5E3A2098024A}">
  <cacheSource type="external" connectionId="3"/>
  <cacheFields count="8">
    <cacheField name="[Measures].[Sum of Bill Amount]" caption="Sum of Bill Amount" numFmtId="0" hierarchy="26" level="32767"/>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5"/>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2"/>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3"/>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29861112" createdVersion="5" refreshedVersion="8" minRefreshableVersion="3" recordCount="0" supportSubquery="1" supportAdvancedDrill="1" xr:uid="{8CD3F532-56D0-40FC-8E12-B4135029AF76}">
  <cacheSource type="external" connectionId="3"/>
  <cacheFields count="8">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unt="1">
        <s v="Allergies"/>
      </sharedItems>
    </cacheField>
    <cacheField name="[Measures].[Count of Patient ID]" caption="Count of Patient ID" numFmtId="0" hierarchy="24" level="32767"/>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5"/>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1"/>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2"/>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oneField="1" hidden="1">
      <fieldsUsage count="1">
        <fieldUsage x="3"/>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30208335" createdVersion="5" refreshedVersion="8" minRefreshableVersion="3" recordCount="0" supportSubquery="1" supportAdvancedDrill="1" xr:uid="{61C1532E-436A-46C8-AB68-0D9CCF5A6F70}">
  <cacheSource type="external" connectionId="3"/>
  <cacheFields count="10">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Measures].[Distinct Count of Patient ID]" caption="Distinct Count of Patient ID" numFmtId="0" hierarchy="25" level="32767"/>
    <cacheField name="[Measures].[Average of Age]" caption="Average of Age" numFmtId="0" hierarchy="30" level="32767"/>
    <cacheField name="[Measures].[Average of Length of Stay]" caption="Average of Length of Stay" numFmtId="0" hierarchy="32" level="32767"/>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1"/>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2"/>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8"/>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9"/>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oneField="1" hidden="1">
      <fieldsUsage count="1">
        <fieldUsage x="5"/>
      </fieldsUsage>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oneField="1" hidden="1">
      <fieldsUsage count="1">
        <fieldUsage x="6"/>
      </fieldsUsage>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oneField="1" hidden="1">
      <fieldsUsage count="1">
        <fieldUsage x="7"/>
      </fieldsUsage>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30555558" createdVersion="5" refreshedVersion="8" minRefreshableVersion="3" recordCount="0" supportSubquery="1" supportAdvancedDrill="1" xr:uid="{BEC5A1DF-F01A-4E1D-9A05-1B1EC3A5A5C6}">
  <cacheSource type="external" connectionId="3"/>
  <cacheFields count="9">
    <cacheField name="[Calender Date].[Date (Month)].[Date (Month)]" caption="Date (Month)" numFmtId="0" hierarchy="2" level="1">
      <sharedItems count="1">
        <s v="Jan"/>
      </sharedItems>
    </cacheField>
    <cacheField name="[Calender Date].[Date (Year)].[Date (Year)]" caption="Date (Year)" numFmtId="0" hierarchy="1" level="1">
      <sharedItems count="1">
        <s v="2023"/>
      </sharedItems>
    </cacheField>
    <cacheField name="[Measures].[Sum of Bill Amount]" caption="Sum of Bill Amount" numFmtId="0" hierarchy="26" level="32767"/>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Date="1" containsString="0" minDate="2024-01-02T00:00:00" maxDate="2024-07-12T00:00:00" count="121">
        <d v="2024-01-02T00:00:00"/>
        <d v="2024-01-04T00:00:00"/>
        <d v="2024-01-05T00:00:00"/>
        <d v="2024-01-08T00:00:00"/>
        <d v="2024-01-09T00:00:00"/>
        <d v="2024-01-10T00:00:00"/>
        <d v="2024-01-11T00:00:00"/>
        <d v="2024-01-13T00:00:00"/>
        <d v="2024-01-15T00:00:00"/>
        <d v="2024-01-16T00:00:00"/>
        <d v="2024-01-18T00:00:00"/>
        <d v="2024-01-22T00:00:00"/>
        <d v="2024-01-23T00:00:00"/>
        <d v="2024-01-24T00:00:00"/>
        <d v="2024-01-25T00:00:00"/>
        <d v="2024-01-26T00:00:00"/>
        <d v="2024-01-27T00:00:00"/>
        <d v="2024-01-28T00:00:00"/>
        <d v="2024-01-30T00:00:00"/>
        <d v="2024-01-31T00:00:00"/>
        <d v="2024-02-01T00:00:00"/>
        <d v="2024-02-02T00:00:00"/>
        <d v="2024-02-03T00:00:00"/>
        <d v="2024-02-04T00:00:00"/>
        <d v="2024-02-06T00:00:00"/>
        <d v="2024-02-09T00:00:00"/>
        <d v="2024-02-11T00:00:00"/>
        <d v="2024-02-12T00:00:00"/>
        <d v="2024-02-13T00:00:00"/>
        <d v="2024-02-14T00:00:00"/>
        <d v="2024-02-15T00:00:00"/>
        <d v="2024-02-16T00:00:00"/>
        <d v="2024-02-17T00:00:00"/>
        <d v="2024-02-18T00:00:00"/>
        <d v="2024-02-19T00:00:00"/>
        <d v="2024-02-22T00:00:00"/>
        <d v="2024-02-28T00:00:00"/>
        <d v="2024-03-01T00:00:00"/>
        <d v="2024-03-02T00:00:00"/>
        <d v="2024-03-03T00:00:00"/>
        <d v="2024-03-04T00:00:00"/>
        <d v="2024-03-05T00:00:00"/>
        <d v="2024-03-06T00:00:00"/>
        <d v="2024-03-07T00:00:00"/>
        <d v="2024-03-08T00:00:00"/>
        <d v="2024-03-09T00:00:00"/>
        <d v="2024-03-10T00:00:00"/>
        <d v="2024-03-11T00:00:00"/>
        <d v="2024-03-13T00:00:00"/>
        <d v="2024-03-14T00:00:00"/>
        <d v="2024-03-16T00:00:00"/>
        <d v="2024-03-17T00:00:00"/>
        <d v="2024-03-19T00:00:00"/>
        <d v="2024-03-20T00:00:00"/>
        <d v="2024-03-21T00:00:00"/>
        <d v="2024-03-22T00:00:00"/>
        <d v="2024-03-24T00:00:00"/>
        <d v="2024-03-26T00:00:00"/>
        <d v="2024-03-29T00:00:00"/>
        <d v="2024-03-30T00:00:00"/>
        <d v="2024-03-31T00:00:00"/>
        <d v="2024-04-03T00:00:00"/>
        <d v="2024-04-05T00:00:00"/>
        <d v="2024-04-06T00:00:00"/>
        <d v="2024-04-09T00:00:00"/>
        <d v="2024-04-10T00:00:00"/>
        <d v="2024-04-12T00:00:00"/>
        <d v="2024-04-14T00:00:00"/>
        <d v="2024-04-16T00:00:00"/>
        <d v="2024-04-17T00:00:00"/>
        <d v="2024-04-18T00:00:00"/>
        <d v="2024-04-19T00:00:00"/>
        <d v="2024-04-21T00:00:00"/>
        <d v="2024-04-22T00:00:00"/>
        <d v="2024-04-23T00:00:00"/>
        <d v="2024-04-24T00:00:00"/>
        <d v="2024-04-29T00:00:00"/>
        <d v="2024-04-30T00:00:00"/>
        <d v="2024-05-02T00:00:00"/>
        <d v="2024-05-03T00:00:00"/>
        <d v="2024-05-04T00:00:00"/>
        <d v="2024-05-05T00:00:00"/>
        <d v="2024-05-06T00:00:00"/>
        <d v="2024-05-10T00:00:00"/>
        <d v="2024-05-12T00:00:00"/>
        <d v="2024-05-14T00:00:00"/>
        <d v="2024-05-15T00:00:00"/>
        <d v="2024-05-16T00:00:00"/>
        <d v="2024-05-17T00:00:00"/>
        <d v="2024-05-18T00:00:00"/>
        <d v="2024-05-19T00:00:00"/>
        <d v="2024-05-21T00:00:00"/>
        <d v="2024-05-24T00:00:00"/>
        <d v="2024-05-26T00:00:00"/>
        <d v="2024-05-28T00:00:00"/>
        <d v="2024-05-29T00:00:00"/>
        <d v="2024-05-30T00:00:00"/>
        <d v="2024-05-31T00:00:00"/>
        <d v="2024-06-02T00:00:00"/>
        <d v="2024-06-03T00:00:00"/>
        <d v="2024-06-06T00:00:00"/>
        <d v="2024-06-08T00:00:00"/>
        <d v="2024-06-11T00:00:00"/>
        <d v="2024-06-12T00:00:00"/>
        <d v="2024-06-13T00:00:00"/>
        <d v="2024-06-15T00:00:00"/>
        <d v="2024-06-16T00:00:00"/>
        <d v="2024-06-18T00:00:00"/>
        <d v="2024-06-19T00:00:00"/>
        <d v="2024-06-20T00:00:00"/>
        <d v="2024-06-23T00:00:00"/>
        <d v="2024-06-24T00:00:00"/>
        <d v="2024-06-25T00:00:00"/>
        <d v="2024-06-30T00:00:00"/>
        <d v="2024-07-01T00:00:00"/>
        <d v="2024-07-02T00:00:00"/>
        <d v="2024-07-03T00:00:00"/>
        <d v="2024-07-04T00:00:00"/>
        <d v="2024-07-05T00:00:00"/>
        <d v="2024-07-08T00:00:00"/>
        <d v="2024-07-11T00:00:00"/>
      </sharedItems>
    </cacheField>
    <cacheField name="[hospital_records_2021_2024_with_bills].[Admit Date (Month)].[Admit Date (Month)]" caption="Admit Date (Month)" numFmtId="0" hierarchy="18" level="1">
      <sharedItems count="1">
        <s v="May"/>
      </sharedItems>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3"/>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4"/>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5"/>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7"/>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8"/>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2" memberValueDatatype="130" unbalanced="0">
      <fieldsUsage count="2">
        <fieldUsage x="-1"/>
        <fieldUsage x="6"/>
      </fieldsUsage>
    </cacheHierarchy>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oneField="1" hidden="1">
      <fieldsUsage count="1">
        <fieldUsage x="2"/>
      </fieldsUsage>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30902774" createdVersion="5" refreshedVersion="8" minRefreshableVersion="3" recordCount="0" supportSubquery="1" supportAdvancedDrill="1" xr:uid="{850AC992-DFDC-4939-A569-47946B1A3465}">
  <cacheSource type="external" connectionId="3"/>
  <cacheFields count="10">
    <cacheField name="[Measures].[Sum of Bill Amount]" caption="Sum of Bill Amount" numFmtId="0" hierarchy="26" level="32767"/>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Measures].[Average of Bill Amount]" caption="Average of Bill Amount" numFmtId="0" hierarchy="27" level="32767"/>
    <cacheField name="[Measures].[Max of Bill Amount]" caption="Max of Bill Amount" numFmtId="0" hierarchy="28" level="32767"/>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5"/>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2"/>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3"/>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8"/>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9"/>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oneField="1" hidden="1">
      <fieldsUsage count="1">
        <fieldUsage x="6"/>
      </fieldsUsage>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oneField="1" hidden="1">
      <fieldsUsage count="1">
        <fieldUsage x="7"/>
      </fieldsUsage>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31134259" createdVersion="5" refreshedVersion="8" minRefreshableVersion="3" recordCount="0" supportSubquery="1" supportAdvancedDrill="1" xr:uid="{2B6FE835-4FFA-4580-ABB6-74230352A5D0}">
  <cacheSource type="external" connectionId="3"/>
  <cacheFields count="8">
    <cacheField name="[Measures].[Average of Bill Amount]" caption="Average of Bill Amount" numFmtId="0" hierarchy="27" level="32767"/>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5"/>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2"/>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3"/>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oneField="1" hidden="1">
      <fieldsUsage count="1">
        <fieldUsage x="0"/>
      </fieldsUsage>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31134259" createdVersion="5" refreshedVersion="8" minRefreshableVersion="3" recordCount="0" supportSubquery="1" supportAdvancedDrill="1" xr:uid="{15B7B71A-A142-4719-B890-C8A5450D05C2}">
  <cacheSource type="external" connectionId="3"/>
  <cacheFields count="8">
    <cacheField name="[Measures].[Max of Bill Amount]" caption="Max of Bill Amount" numFmtId="0" hierarchy="28" level="32767"/>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5"/>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2"/>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3"/>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31249998" createdVersion="5" refreshedVersion="8" minRefreshableVersion="3" recordCount="0" supportSubquery="1" supportAdvancedDrill="1" xr:uid="{0F71C572-1C92-42D6-B475-ACE2AC32E21B}">
  <cacheSource type="external" connectionId="3"/>
  <cacheFields count="8">
    <cacheField name="[Measures].[Average of Age]" caption="Average of Age" numFmtId="0" hierarchy="30" level="32767"/>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5"/>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2"/>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3"/>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31481482" createdVersion="5" refreshedVersion="8" minRefreshableVersion="3" recordCount="0" supportSubquery="1" supportAdvancedDrill="1" xr:uid="{46F46110-17FD-48F9-BA72-CB44B5FEDAAB}">
  <cacheSource type="external" connectionId="3"/>
  <cacheFields count="8">
    <cacheField name="[Measures].[Average of Length of Stay]" caption="Average of Length of Stay" numFmtId="0" hierarchy="32" level="32767"/>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5"/>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2"/>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3"/>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31828705" createdVersion="5" refreshedVersion="8" minRefreshableVersion="3" recordCount="0" supportSubquery="1" supportAdvancedDrill="1" xr:uid="{85914956-C42F-48D2-BF81-F186314A0CF0}">
  <cacheSource type="external" connectionId="3"/>
  <cacheFields count="8">
    <cacheField name="[Calender Date].[Date (Year)].[Date (Year)]" caption="Date (Year)" numFmtId="0" hierarchy="1" level="1">
      <sharedItems count="1">
        <s v="2023"/>
      </sharedItems>
    </cacheField>
    <cacheField name="[Calender Date].[Date (Month)].[Date (Month)]" caption="Date (Month)" numFmtId="0" hierarchy="2" level="1">
      <sharedItems count="1">
        <s v="Jan"/>
      </sharedItems>
    </cacheField>
    <cacheField name="[Measures].[Average of Bill Amount]" caption="Average of Bill Amount" numFmtId="0" hierarchy="27" level="32767"/>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hospital_records_2021_2024_with_bills].[Admit Year].[Admit Year]" caption="Admit Year" numFmtId="0" hierarchy="16"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hospital_records_2021_2024_with_bills].[Admit Year].&amp;[2022]"/>
          </x15:cachedUniqueNames>
        </ext>
      </extLst>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1"/>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3"/>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4"/>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5"/>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oneField="1" hidden="1">
      <fieldsUsage count="1">
        <fieldUsage x="2"/>
      </fieldsUsage>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32175929" createdVersion="5" refreshedVersion="8" minRefreshableVersion="3" recordCount="0" supportSubquery="1" supportAdvancedDrill="1" xr:uid="{DE6DE64B-B77A-4258-8FB0-92FB21A85FD0}">
  <cacheSource type="external" connectionId="3"/>
  <cacheFields count="8">
    <cacheField name="[Calender Date].[Date (Year)].[Date (Year)]" caption="Date (Year)" numFmtId="0" hierarchy="1" level="1">
      <sharedItems count="1">
        <s v="2023"/>
      </sharedItems>
    </cacheField>
    <cacheField name="[Calender Date].[Date (Month)].[Date (Month)]" caption="Date (Month)" numFmtId="0" hierarchy="2" level="1">
      <sharedItems count="12">
        <s v="Jan"/>
        <s v="Sep" u="1"/>
        <s v="Dec" u="1"/>
        <s v="Aug" u="1"/>
        <s v="Jul" u="1"/>
        <s v="Nov" u="1"/>
        <s v="Oct" u="1"/>
        <s v="Apr" u="1"/>
        <s v="May" u="1"/>
        <s v="Jun" u="1"/>
        <s v="Feb" u="1"/>
        <s v="Mar" u="1"/>
      </sharedItems>
    </cacheField>
    <cacheField name="[Measures].[Sum of Bill Amount]" caption="Sum of Bill Amount" numFmtId="0" hierarchy="26" level="32767"/>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hospital_records_2021_2024_with_bills].[Admit Year].[Admit Year]" caption="Admit Year" numFmtId="0" hierarchy="16"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hospital_records_2021_2024_with_bills].[Admit Year].&amp;[2022]"/>
          </x15:cachedUniqueNames>
        </ext>
      </extLst>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1"/>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3"/>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4"/>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5"/>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oneField="1" hidden="1">
      <fieldsUsage count="1">
        <fieldUsage x="2"/>
      </fieldsUsage>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32523145" createdVersion="5" refreshedVersion="8" minRefreshableVersion="3" recordCount="0" supportSubquery="1" supportAdvancedDrill="1" xr:uid="{BA4F758E-BF3F-40EA-8CDE-409C68033B9A}">
  <cacheSource type="external" connectionId="3"/>
  <cacheFields count="8">
    <cacheField name="[Calender Date].[Date (Year)].[Date (Year)]" caption="Date (Year)" numFmtId="0" hierarchy="1" level="1">
      <sharedItems count="1">
        <s v="2023"/>
      </sharedItems>
    </cacheField>
    <cacheField name="[Calender Date].[Date (Month)].[Date (Month)]" caption="Date (Month)" numFmtId="0" hierarchy="2" level="1">
      <sharedItems count="12">
        <s v="Jan"/>
        <s v="Sep" u="1"/>
        <s v="Apr" u="1"/>
        <s v="Aug" u="1"/>
        <s v="Jun" u="1"/>
        <s v="Dec" u="1"/>
        <s v="Feb" u="1"/>
        <s v="May" u="1"/>
        <s v="Jul" u="1"/>
        <s v="Nov" u="1"/>
        <s v="Oct" u="1"/>
        <s v="Mar" u="1"/>
      </sharedItems>
    </cacheField>
    <cacheField name="[Measures].[Average of Length of Stay]" caption="Average of Length of Stay" numFmtId="0" hierarchy="32" level="32767"/>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hospital_records_2021_2024_with_bills].[Admit Year].[Admit Year]" caption="Admit Year" numFmtId="0" hierarchy="16"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hospital_records_2021_2024_with_bills].[Admit Year].&amp;[2022]"/>
          </x15:cachedUniqueNames>
        </ext>
      </extLst>
    </cacheField>
    <cacheField name="[hospital_records_2021_2024_with_bills].[Age By Group].[Age By Group]" caption="Age By Group" numFmtId="0" hierarchy="17" level="1">
      <sharedItems containsSemiMixedTypes="0" containsNonDate="0" containsString="0"/>
    </cacheField>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1"/>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3"/>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4"/>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5"/>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6"/>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7"/>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35932754629" createdVersion="5" refreshedVersion="8" minRefreshableVersion="3" recordCount="0" supportSubquery="1" supportAdvancedDrill="1" xr:uid="{3F9365AC-68DA-4923-A063-0BAC8F04BA93}">
  <cacheSource type="external" connectionId="3"/>
  <cacheFields count="8">
    <cacheField name="[Calender Date].[Date (Year)].[Date (Year)]" caption="Date (Year)" numFmtId="0" hierarchy="1" level="1">
      <sharedItems containsSemiMixedTypes="0" containsNonDate="0" containsString="0"/>
    </cacheField>
    <cacheField name="[hospital_records_2021_2024_with_bills].[Gender].[Gender]" caption="Gender" numFmtId="0" hierarchy="7" level="1">
      <sharedItems containsSemiMixedTypes="0" containsNonDate="0" containsString="0"/>
    </cacheField>
    <cacheField name="[hospital_records_2021_2024_with_bills].[Medical Condition].[Medical Condition]" caption="Medical Condition" numFmtId="0" hierarchy="8" level="1">
      <sharedItems containsSemiMixedTypes="0" containsNonDate="0" containsString="0"/>
    </cacheField>
    <cacheField name="[Calender Date].[Date (Month)].[Date (Month)]" caption="Date (Month)" numFmtId="0" hierarchy="2" level="1">
      <sharedItems containsSemiMixedTypes="0" containsNonDate="0" containsString="0"/>
    </cacheField>
    <cacheField name="[hospital_records_2021_2024_with_bills].[Admit Date].[Admit Date]" caption="Admit Date" numFmtId="0" hierarchy="11" level="1">
      <sharedItems containsSemiMixedTypes="0" containsNonDate="0" containsString="0"/>
    </cacheField>
    <cacheField name="[hospital_records_2021_2024_with_bills].[Admit Year].[Admit Year]" caption="Admit Year" numFmtId="0" hierarchy="16" level="1">
      <sharedItems containsSemiMixedTypes="0" containsNonDate="0" containsString="0"/>
    </cacheField>
    <cacheField name="[hospital_records_2021_2024_with_bills].[Age By Group].[Age By Group]" caption="Age By Group" numFmtId="0" hierarchy="17" level="1">
      <sharedItems containsSemiMixedTypes="0" containsNonDate="0" containsString="0"/>
    </cacheField>
    <cacheField name="[Measures].[Average of Age]" caption="Average of Age" numFmtId="0" hierarchy="30" level="32767"/>
  </cacheFields>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fieldsUsage count="2">
        <fieldUsage x="-1"/>
        <fieldUsage x="1"/>
      </fieldsUsage>
    </cacheHierarchy>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fieldsUsage count="2">
        <fieldUsage x="-1"/>
        <fieldUsage x="2"/>
      </fieldsUsage>
    </cacheHierarchy>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2" memberValueDatatype="7" unbalanced="0">
      <fieldsUsage count="2">
        <fieldUsage x="-1"/>
        <fieldUsage x="4"/>
      </fieldsUsage>
    </cacheHierarchy>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fieldsUsage count="2">
        <fieldUsage x="-1"/>
        <fieldUsage x="5"/>
      </fieldsUsage>
    </cacheHierarchy>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fieldsUsage count="2">
        <fieldUsage x="-1"/>
        <fieldUsage x="6"/>
      </fieldsUsage>
    </cacheHierarchy>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oneField="1" hidden="1">
      <fieldsUsage count="1">
        <fieldUsage x="7"/>
      </fieldsUsage>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dimensions count="3">
    <dimension name="Calender Date" uniqueName="[Calender Date]" caption="Calender Date"/>
    <dimension name="hospital_records_2021_2024_with_bills" uniqueName="[hospital_records_2021_2024_with_bills]" caption="hospital_records_2021_2024_with_bills"/>
    <dimension measure="1" name="Measures" uniqueName="[Measures]" caption="Measures"/>
  </dimensions>
  <measureGroups count="2">
    <measureGroup name="Calender Date" caption="Calender Date"/>
    <measureGroup name="hospital_records_2021_2024_with_bills" caption="hospital_records_2021_2024_with_b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46.729197106484" createdVersion="3" refreshedVersion="8" minRefreshableVersion="3" recordCount="0" supportSubquery="1" supportAdvancedDrill="1" xr:uid="{31EFD9F1-6305-4F1B-A14F-866A4388FDDC}">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0" memberValueDatatype="130" unbalanced="0"/>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_records_2021_2024_with_bills].[Patient ID]" caption="Patient ID" attribute="1" defaultMemberUniqueName="[hospital_records_2021_2024_with_bills].[Patient ID].[All]" allUniqueName="[hospital_records_2021_2024_with_bills].[Patient ID].[All]" dimensionUniqueName="[hospital_records_2021_2024_with_bills]" displayFolder="" count="0" memberValueDatatype="130" unbalanced="0"/>
    <cacheHierarchy uniqueName="[hospital_records_2021_2024_with_bills].[Name]" caption="Name" attribute="1" defaultMemberUniqueName="[hospital_records_2021_2024_with_bills].[Name].[All]" allUniqueName="[hospital_records_2021_2024_with_bills].[Name].[All]" dimensionUniqueName="[hospital_records_2021_2024_with_bills]" displayFolder="" count="0" memberValueDatatype="130" unbalanced="0"/>
    <cacheHierarchy uniqueName="[hospital_records_2021_2024_with_bills].[Date of Birth]" caption="Date of Birth" attribute="1" time="1" defaultMemberUniqueName="[hospital_records_2021_2024_with_bills].[Date of Birth].[All]" allUniqueName="[hospital_records_2021_2024_with_bills].[Date of Birth].[All]" dimensionUniqueName="[hospital_records_2021_2024_with_bills]" displayFolder="" count="0" memberValueDatatype="7" unbalanced="0"/>
    <cacheHierarchy uniqueName="[hospital_records_2021_2024_with_bills].[Gender]" caption="Gender" attribute="1" defaultMemberUniqueName="[hospital_records_2021_2024_with_bills].[Gender].[All]" allUniqueName="[hospital_records_2021_2024_with_bills].[Gender].[All]" dimensionUniqueName="[hospital_records_2021_2024_with_bills]" displayFolder="" count="2" memberValueDatatype="130" unbalanced="0"/>
    <cacheHierarchy uniqueName="[hospital_records_2021_2024_with_bills].[Medical Condition]" caption="Medical Condition" attribute="1" defaultMemberUniqueName="[hospital_records_2021_2024_with_bills].[Medical Condition].[All]" allUniqueName="[hospital_records_2021_2024_with_bills].[Medical Condition].[All]" dimensionUniqueName="[hospital_records_2021_2024_with_bills]" displayFolder="" count="2" memberValueDatatype="130" unbalanced="0"/>
    <cacheHierarchy uniqueName="[hospital_records_2021_2024_with_bills].[Treatments]" caption="Treatments" attribute="1" defaultMemberUniqueName="[hospital_records_2021_2024_with_bills].[Treatments].[All]" allUniqueName="[hospital_records_2021_2024_with_bills].[Treatments].[All]" dimensionUniqueName="[hospital_records_2021_2024_with_bills]" displayFolder="" count="0" memberValueDatatype="130" unbalanced="0"/>
    <cacheHierarchy uniqueName="[hospital_records_2021_2024_with_bills].[Doctor's Notes]" caption="Doctor's Notes" attribute="1" defaultMemberUniqueName="[hospital_records_2021_2024_with_bills].[Doctor's Notes].[All]" allUniqueName="[hospital_records_2021_2024_with_bills].[Doctor's Notes].[All]" dimensionUniqueName="[hospital_records_2021_2024_with_bills]" displayFolder="" count="0" memberValueDatatype="130" unbalanced="0"/>
    <cacheHierarchy uniqueName="[hospital_records_2021_2024_with_bills].[Admit Date]" caption="Admit Date" attribute="1" time="1" defaultMemberUniqueName="[hospital_records_2021_2024_with_bills].[Admit Date].[All]" allUniqueName="[hospital_records_2021_2024_with_bills].[Admit Date].[All]" dimensionUniqueName="[hospital_records_2021_2024_with_bills]" displayFolder="" count="0" memberValueDatatype="7" unbalanced="0"/>
    <cacheHierarchy uniqueName="[hospital_records_2021_2024_with_bills].[Discharge Date]" caption="Discharge Date" attribute="1" time="1" defaultMemberUniqueName="[hospital_records_2021_2024_with_bills].[Discharge Date].[All]" allUniqueName="[hospital_records_2021_2024_with_bills].[Discharge Date].[All]" dimensionUniqueName="[hospital_records_2021_2024_with_bills]" displayFolder="" count="0" memberValueDatatype="7" unbalanced="0"/>
    <cacheHierarchy uniqueName="[hospital_records_2021_2024_with_bills].[Bill Amount]" caption="Bill Amount" attribute="1" defaultMemberUniqueName="[hospital_records_2021_2024_with_bills].[Bill Amount].[All]" allUniqueName="[hospital_records_2021_2024_with_bills].[Bill Amount].[All]" dimensionUniqueName="[hospital_records_2021_2024_with_bills]" displayFolder="" count="0" memberValueDatatype="20" unbalanced="0"/>
    <cacheHierarchy uniqueName="[hospital_records_2021_2024_with_bills].[Age]" caption="Age" attribute="1" defaultMemberUniqueName="[hospital_records_2021_2024_with_bills].[Age].[All]" allUniqueName="[hospital_records_2021_2024_with_bills].[Age].[All]" dimensionUniqueName="[hospital_records_2021_2024_with_bills]" displayFolder="" count="0" memberValueDatatype="20" unbalanced="0"/>
    <cacheHierarchy uniqueName="[hospital_records_2021_2024_with_bills].[Length of Stay]" caption="Length of Stay" attribute="1" defaultMemberUniqueName="[hospital_records_2021_2024_with_bills].[Length of Stay].[All]" allUniqueName="[hospital_records_2021_2024_with_bills].[Length of Stay].[All]" dimensionUniqueName="[hospital_records_2021_2024_with_bills]" displayFolder="" count="0" memberValueDatatype="5" unbalanced="0"/>
    <cacheHierarchy uniqueName="[hospital_records_2021_2024_with_bills].[Admit Year]" caption="Admit Year" attribute="1" defaultMemberUniqueName="[hospital_records_2021_2024_with_bills].[Admit Year].[All]" allUniqueName="[hospital_records_2021_2024_with_bills].[Admit Year].[All]" dimensionUniqueName="[hospital_records_2021_2024_with_bills]" displayFolder="" count="2" memberValueDatatype="20" unbalanced="0"/>
    <cacheHierarchy uniqueName="[hospital_records_2021_2024_with_bills].[Age By Group]" caption="Age By Group" attribute="1" defaultMemberUniqueName="[hospital_records_2021_2024_with_bills].[Age By Group].[All]" allUniqueName="[hospital_records_2021_2024_with_bills].[Age By Group].[All]" dimensionUniqueName="[hospital_records_2021_2024_with_bills]" displayFolder="" count="2" memberValueDatatype="130" unbalanced="0"/>
    <cacheHierarchy uniqueName="[hospital_records_2021_2024_with_bills].[Admit Date (Month)]" caption="Admit Date (Month)" attribute="1" defaultMemberUniqueName="[hospital_records_2021_2024_with_bills].[Admit Date (Month)].[All]" allUniqueName="[hospital_records_2021_2024_with_bills].[Admit Date (Month)].[All]" dimensionUniqueName="[hospital_records_2021_2024_with_bills]" displayFolder="" count="0" memberValueDatatype="130" unbalanced="0"/>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hospital_records_2021_2024_with_bills].[Admit Date (Month Index)]" caption="Admit Date (Month Index)" attribute="1" defaultMemberUniqueName="[hospital_records_2021_2024_with_bills].[Admit Date (Month Index)].[All]" allUniqueName="[hospital_records_2021_2024_with_bills].[Admit Date (Month Index)].[All]" dimensionUniqueName="[hospital_records_2021_2024_with_bills]" displayFolder="" count="0" memberValueDatatype="20" unbalanced="0" hidden="1"/>
    <cacheHierarchy uniqueName="[Measures].[__XL_Count hospital_records_2021_2024_with_bills]" caption="__XL_Count hospital_records_2021_2024_with_bills" measure="1" displayFolder="" measureGroup="hospital_records_2021_2024_with_bills"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records_2021_2024_with_bills" count="0" hidden="1">
      <extLst>
        <ext xmlns:x15="http://schemas.microsoft.com/office/spreadsheetml/2010/11/main" uri="{B97F6D7D-B522-45F9-BDA1-12C45D357490}">
          <x15:cacheHierarchy aggregatedColumn="4"/>
        </ext>
      </extLst>
    </cacheHierarchy>
    <cacheHierarchy uniqueName="[Measures].[Sum of Bill Amount]" caption="Sum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Average of Bill Amount]" caption="Average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Max of Bill Amount]" caption="Max of Bill Amount" measure="1" displayFolder="" measureGroup="hospital_records_2021_2024_with_bill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ospital_records_2021_2024_with_bills" count="0" hidden="1">
      <extLst>
        <ext xmlns:x15="http://schemas.microsoft.com/office/spreadsheetml/2010/11/main" uri="{B97F6D7D-B522-45F9-BDA1-12C45D357490}">
          <x15:cacheHierarchy aggregatedColumn="14"/>
        </ext>
      </extLst>
    </cacheHierarchy>
    <cacheHierarchy uniqueName="[Measures].[Sum of Length of Stay]" caption="Sum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ospital_records_2021_2024_with_bills"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hospital_records_2021_2024_with_bills" count="0" hidden="1">
      <extLst>
        <ext xmlns:x15="http://schemas.microsoft.com/office/spreadsheetml/2010/11/main" uri="{B97F6D7D-B522-45F9-BDA1-12C45D357490}">
          <x15:cacheHierarchy aggregatedColumn="7"/>
        </ext>
      </extLst>
    </cacheHierarchy>
    <cacheHierarchy uniqueName="[Measures].[Count of Medical Condition]" caption="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Distinct Count of Medical Condition]" caption="Distinct Count of Medical Condition" measure="1" displayFolder="" measureGroup="hospital_records_2021_2024_with_bills" count="0" hidden="1">
      <extLst>
        <ext xmlns:x15="http://schemas.microsoft.com/office/spreadsheetml/2010/11/main" uri="{B97F6D7D-B522-45F9-BDA1-12C45D357490}">
          <x15:cacheHierarchy aggregatedColumn="8"/>
        </ext>
      </extLst>
    </cacheHierarchy>
    <cacheHierarchy uniqueName="[Measures].[Count of Treatments]" caption="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y uniqueName="[Measures].[Distinct Count of Treatments]" caption="Distinct Count of Treatments" measure="1" displayFolder="" measureGroup="hospital_records_2021_2024_with_bill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0414061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BA9790-C489-428F-8D9B-6CD1C1F19D78}" name="PivotTable16" cacheId="7" applyNumberFormats="0" applyBorderFormats="0" applyFontFormats="0" applyPatternFormats="0" applyAlignmentFormats="0" applyWidthHeightFormats="1" dataCaption="Values" tag="9496fe14-22a0-4fd9-a38c-876d092defe7" updatedVersion="8" minRefreshableVersion="5" subtotalHiddenItems="1" itemPrintTitles="1" createdVersion="5" indent="0" outline="1" outlineData="1" multipleFieldFilters="0" chartFormat="38">
  <location ref="J22:K24" firstHeaderRow="1" firstDataRow="1" firstDataCol="1"/>
  <pivotFields count="9">
    <pivotField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Patient ID" fld="2" subtotal="count" baseField="1" baseItem="0"/>
  </dataFields>
  <chartFormats count="3">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1A995A-B288-4039-B754-4417448D332C}" name="PivotTable12" cacheId="3" applyNumberFormats="0" applyBorderFormats="0" applyFontFormats="0" applyPatternFormats="0" applyAlignmentFormats="0" applyWidthHeightFormats="1" dataCaption="Values" tag="acaa44b5-abcb-4dae-91fc-5ed2e3a53e83" updatedVersion="8" minRefreshableVersion="5" subtotalHiddenItems="1" itemPrintTitles="1" createdVersion="5" indent="0" outline="1" outlineData="1" multipleFieldFilters="0">
  <location ref="A48:A49"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Medical Condition" fld="0" subtotal="count" baseField="0" baseItem="0">
      <extLst>
        <ext xmlns:x15="http://schemas.microsoft.com/office/spreadsheetml/2010/11/main" uri="{FABC7310-3BB5-11E1-824E-6D434824019B}">
          <x15:dataField isCountDistinct="1"/>
        </ext>
      </extLst>
    </dataField>
  </dataFields>
  <formats count="1">
    <format dxfId="0">
      <pivotArea outline="0" collapsedLevelsAreSubtotals="1" fieldPosition="0"/>
    </format>
  </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Bill Amount"/>
    <pivotHierarchy dragToData="1" caption="Max of Bill Amount"/>
    <pivotHierarchy dragToData="1"/>
    <pivotHierarchy dragToData="1" caption="Average of Age"/>
    <pivotHierarchy dragToData="1"/>
    <pivotHierarchy dragToData="1" caption="Average of Length of Stay"/>
    <pivotHierarchy dragToData="1"/>
    <pivotHierarchy dragToData="1"/>
    <pivotHierarchy dragToData="1" caption="Distinct Count of Medical Condition"/>
    <pivotHierarchy dragToData="1"/>
    <pivotHierarchy dragToData="1"/>
  </pivotHierarchies>
  <pivotTableStyleInfo name="PivotStyleLight16" showRowHeaders="1" showColHeaders="1" showRowStripes="0" showColStripes="0" showLastColumn="1"/>
  <filters count="1">
    <filter fld="5" type="dateBetween" evalOrder="-1" id="1"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47B6BB-597F-4FD5-A2BC-812C6C51B798}" name="PivotTable8" cacheId="21" applyNumberFormats="0" applyBorderFormats="0" applyFontFormats="0" applyPatternFormats="0" applyAlignmentFormats="0" applyWidthHeightFormats="1" dataCaption="Values" tag="795c0756-effa-41ef-a8ee-f0ce36992320" updatedVersion="8" minRefreshableVersion="5" subtotalHiddenItems="1" itemPrintTitles="1" createdVersion="5" indent="0" outline="1" outlineData="1" multipleFieldFilters="0" chartFormat="24">
  <location ref="M3:N5" firstHeaderRow="1" firstDataRow="1" firstDataCol="1"/>
  <pivotFields count="8">
    <pivotField allDrilled="1" subtotalTop="0" showAll="0" dataSourceSort="1" defaultSubtotal="0" defaultAttributeDrillState="1">
      <items count="1">
        <item s="1" x="0"/>
      </items>
    </pivotField>
    <pivotField allDrilled="1" subtotalTop="0" showAll="0" dataSourceSort="1" defaultSubtotal="0" defaultAttributeDrillState="1">
      <items count="12">
        <item s="1"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6"/>
  </rowFields>
  <rowItems count="2">
    <i>
      <x/>
    </i>
    <i t="grand">
      <x/>
    </i>
  </rowItems>
  <colItems count="1">
    <i/>
  </colItems>
  <dataFields count="1">
    <dataField name="Sum of Bill Amount" fld="2" baseField="0" baseItem="0"/>
  </dataFields>
  <formats count="1">
    <format dxfId="1">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caption="Sum of Bill Amount"/>
    <pivotHierarchy dragToData="1" caption="Average of Bil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ED56E7-C249-4B92-AD40-F85E1C1A5058}" name="PivotTable4" cacheId="17" applyNumberFormats="0" applyBorderFormats="0" applyFontFormats="0" applyPatternFormats="0" applyAlignmentFormats="0" applyWidthHeightFormats="1" dataCaption="Values" tag="fa4e9167-fea7-4657-9005-0d6b8cb778d2" updatedVersion="8" minRefreshableVersion="5" subtotalHiddenItems="1" itemPrintTitles="1" createdVersion="5" indent="0" outline="1" outlineData="1" multipleFieldFilters="0">
  <location ref="A18:A19"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Max of Bill Amount" fld="0" subtotal="max" baseField="0" baseItem="0"/>
  </dataFields>
  <formats count="1">
    <format dxfId="2">
      <pivotArea outline="0" collapsedLevelsAreSubtotals="1" fieldPosition="0"/>
    </format>
  </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Bill Amount"/>
    <pivotHierarchy dragToData="1" caption="Max of Bill Am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1D7D12-46E1-4801-B5B9-80340BA10030}" name="PivotTable1" cacheId="0" applyNumberFormats="0" applyBorderFormats="0" applyFontFormats="0" applyPatternFormats="0" applyAlignmentFormats="0" applyWidthHeightFormats="1" dataCaption="Values" tag="58aa7771-b81a-49fa-8c5e-97cdc7bfcabf" updatedVersion="8" minRefreshableVersion="5" subtotalHiddenItems="1" itemPrintTitles="1" createdVersion="5" indent="0" outline="1" outlineData="1" multipleFieldFilters="0">
  <location ref="A3:A4"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2E5397-9278-481D-97FB-566E5B4723C8}" name="PivotTable22" cacheId="14" applyNumberFormats="0" applyBorderFormats="0" applyFontFormats="0" applyPatternFormats="0" applyAlignmentFormats="0" applyWidthHeightFormats="1" dataCaption="Values" tag="eb79868b-4ea7-408f-967e-db77a6a1139d" updatedVersion="8" minRefreshableVersion="5" subtotalHiddenItems="1" itemPrintTitles="1" createdVersion="5" indent="0" outline="1" outlineData="1" multipleFieldFilters="0" chartFormat="54">
  <location ref="D30:E32" firstHeaderRow="1" firstDataRow="1" firstDataCol="1"/>
  <pivotFields count="9">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s>
    </pivotField>
    <pivotField axis="axisRow" allDrilled="1" subtotalTop="0" showAll="0" dataSourceSort="1" defaultSubtotal="0">
      <items count="1">
        <item x="0" e="0"/>
      </items>
    </pivotField>
    <pivotField axis="axisRow" allDrilled="1" subtotalTop="0" showAll="0" dataSourceSort="1" defaultSubtotal="0" defaultAttributeDrillState="1"/>
    <pivotField allDrilled="1" subtotalTop="0" showAll="0" dataSourceSort="1" defaultSubtotal="0" defaultAttributeDrillState="1"/>
  </pivotFields>
  <rowFields count="2">
    <field x="6"/>
    <field x="7"/>
  </rowFields>
  <rowItems count="2">
    <i>
      <x/>
    </i>
    <i t="grand">
      <x/>
    </i>
  </rowItems>
  <colItems count="1">
    <i/>
  </colItems>
  <dataFields count="1">
    <dataField name="Sum of Bill Amount" fld="2" baseField="1" baseItem="0"/>
  </dataFields>
  <chartFormats count="5">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2">
    <rowHierarchyUsage hierarchyUsage="18"/>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5C4077-522D-417B-9670-2628BFC99411}" name="PivotTable11" cacheId="2" applyNumberFormats="0" applyBorderFormats="0" applyFontFormats="0" applyPatternFormats="0" applyAlignmentFormats="0" applyWidthHeightFormats="1" dataCaption="Values" tag="71b62302-7f9b-406c-ac60-f3ec7424012a" updatedVersion="8" minRefreshableVersion="5" subtotalHiddenItems="1" itemPrintTitles="1" createdVersion="5" indent="0" outline="1" outlineData="1" multipleFieldFilters="0">
  <location ref="A39:B41" firstHeaderRow="1" firstDataRow="1" firstDataCol="1"/>
  <pivotFields count="8">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Gender" fld="1" subtotal="count" baseField="0" baseItem="0"/>
  </dataFields>
  <formats count="1">
    <format dxfId="3">
      <pivotArea outline="0" collapsedLevelsAreSubtotals="1" fieldPosition="0"/>
    </format>
  </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Bill Amount"/>
    <pivotHierarchy dragToData="1" caption="Max of Bill Amount"/>
    <pivotHierarchy dragToData="1"/>
    <pivotHierarchy dragToData="1" caption="Average of Age"/>
    <pivotHierarchy dragToData="1"/>
    <pivotHierarchy dragToData="1" caption="Average of Length of Sta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529109-4B4C-4067-B8DE-72C06D79F847}" name="PivotTable6" cacheId="19" applyNumberFormats="0" applyBorderFormats="0" applyFontFormats="0" applyPatternFormats="0" applyAlignmentFormats="0" applyWidthHeightFormats="1" dataCaption="Values" tag="08bb8139-ac94-47e0-9203-d675d5dbeeec" updatedVersion="8" minRefreshableVersion="5" subtotalHiddenItems="1" itemPrintTitles="1" createdVersion="5" indent="0" outline="1" outlineData="1" multipleFieldFilters="0">
  <location ref="A32:A33"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Length of Stay" fld="0" subtotal="average" baseField="0" baseItem="0"/>
  </dataFields>
  <formats count="1">
    <format dxfId="4">
      <pivotArea outline="0" collapsedLevelsAreSubtotals="1" fieldPosition="0"/>
    </format>
  </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Bill Amount"/>
    <pivotHierarchy dragToData="1" caption="Max of Bill Amount"/>
    <pivotHierarchy dragToData="1"/>
    <pivotHierarchy dragToData="1" caption="Average of Age"/>
    <pivotHierarchy dragToData="1"/>
    <pivotHierarchy dragToData="1" caption="Average of Length of Sta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81418F-4F4F-4E17-BEDF-9F54A836E0C4}" name="PivotTable7" cacheId="20" applyNumberFormats="0" applyBorderFormats="0" applyFontFormats="0" applyPatternFormats="0" applyAlignmentFormats="0" applyWidthHeightFormats="1" dataCaption="Values" tag="b4c12658-de48-4e11-a13e-ec6d99507048" updatedVersion="8" minRefreshableVersion="5" subtotalHiddenItems="1" itemPrintTitles="1" createdVersion="5" indent="0" outline="1" outlineData="1" multipleFieldFilters="0" chartFormat="12">
  <location ref="J3:K5" firstHeaderRow="1" firstDataRow="1" firstDataCol="1"/>
  <pivotFields count="8">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6"/>
  </rowFields>
  <rowItems count="2">
    <i>
      <x/>
    </i>
    <i t="grand">
      <x/>
    </i>
  </rowItems>
  <colItems count="1">
    <i/>
  </colItems>
  <dataFields count="1">
    <dataField name="Average of Bill Amount" fld="2" subtotal="average" baseField="0" baseItem="0"/>
  </dataFields>
  <formats count="1">
    <format dxfId="5">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Bil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5B1505-268D-4487-A204-09705824ABA9}" name="PivotTable19" cacheId="10" applyNumberFormats="0" applyBorderFormats="0" applyFontFormats="0" applyPatternFormats="0" applyAlignmentFormats="0" applyWidthHeightFormats="1" dataCaption="Values" tag="6f42c04f-f925-421d-bc97-6cc9325e1fe4" updatedVersion="8" minRefreshableVersion="5" subtotalHiddenItems="1" itemPrintTitles="1" createdVersion="5" indent="0" outline="1" outlineData="1" multipleFieldFilters="0">
  <location ref="A59:A60" firstHeaderRow="1" firstDataRow="1" firstDataCol="0"/>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Max of Bill Amount" fld="4" subtotal="max" baseField="0" baseItem="0"/>
  </dataFields>
  <formats count="1">
    <format dxfId="6">
      <pivotArea outline="0" collapsedLevelsAreSubtotals="1" fieldPosition="0"/>
    </format>
  </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Bill Amount"/>
    <pivotHierarchy dragToData="1" caption="Max of Bill Amount"/>
    <pivotHierarchy dragToData="1"/>
    <pivotHierarchy dragToData="1" caption="Average of Age"/>
    <pivotHierarchy dragToData="1"/>
    <pivotHierarchy dragToData="1" caption="Average of Length of Stay"/>
    <pivotHierarchy dragToData="1"/>
    <pivotHierarchy dragToData="1"/>
    <pivotHierarchy dragToData="1"/>
    <pivotHierarchy dragToData="1"/>
    <pivotHierarchy dragToData="1" caption="Distinct Count of Treatments"/>
  </pivotHierarchies>
  <pivotTableStyleInfo name="PivotStyleLight16" showRowHeaders="1" showColHeaders="1" showRowStripes="0" showColStripes="0" showLastColumn="1"/>
  <filters count="1">
    <filter fld="5" type="dateBetween" evalOrder="-1" id="1"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679FCC-0EF0-4D29-8ED8-1D2DFB91A096}" name="PivotTable23" cacheId="23" applyNumberFormats="0" applyBorderFormats="0" applyFontFormats="0" applyPatternFormats="0" applyAlignmentFormats="0" applyWidthHeightFormats="1" dataCaption="Values" tag="6f05dcb9-7830-443c-a668-fe6f73ee6f0e" updatedVersion="8" minRefreshableVersion="5" subtotalHiddenItems="1" itemPrintTitles="1" createdVersion="5" indent="0" outline="1" outlineData="1" multipleFieldFilters="0">
  <location ref="A65:A66" firstHeaderRow="1" firstDataRow="1" firstDataCol="0"/>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Average of Age" fld="7" subtotal="average" baseField="0" baseItem="0"/>
  </dataFields>
  <formats count="1">
    <format dxfId="7">
      <pivotArea outline="0" collapsedLevelsAreSubtotals="1" fieldPosition="0"/>
    </format>
  </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Bill Amount"/>
    <pivotHierarchy dragToData="1" caption="Max of Bill Amount"/>
    <pivotHierarchy dragToData="1"/>
    <pivotHierarchy dragToData="1" caption="Average of Age"/>
    <pivotHierarchy dragToData="1"/>
    <pivotHierarchy dragToData="1" caption="Average of Length of Stay"/>
    <pivotHierarchy dragToData="1"/>
    <pivotHierarchy dragToData="1"/>
    <pivotHierarchy dragToData="1"/>
    <pivotHierarchy dragToData="1"/>
    <pivotHierarchy dragToData="1" caption="Distinct Count of Treatments"/>
  </pivotHierarchies>
  <pivotTableStyleInfo name="PivotStyleLight16" showRowHeaders="1" showColHeaders="1" showRowStripes="0" showColStripes="0" showLastColumn="1"/>
  <filters count="1">
    <filter fld="4" type="dateBetween" evalOrder="-1" id="1"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6B45AB-ADAF-4379-8110-1D048BF723A5}" name="PivotTable14" cacheId="5" applyNumberFormats="0" applyBorderFormats="0" applyFontFormats="0" applyPatternFormats="0" applyAlignmentFormats="0" applyWidthHeightFormats="1" dataCaption="Values" tag="0057ffd5-f128-4f3a-ac85-16284f8728a9" updatedVersion="8" minRefreshableVersion="5" subtotalHiddenItems="1" itemPrintTitles="1" createdVersion="5" indent="0" outline="1" outlineData="1" multipleFieldFilters="0" chartFormat="9">
  <location ref="D3:E5" firstHeaderRow="1" firstDataRow="1" firstDataCol="1"/>
  <pivotFields count="8">
    <pivotField dataField="1" subtotalTop="0" showAll="0" defaultSubtotal="0"/>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6"/>
  </rowFields>
  <rowItems count="2">
    <i>
      <x/>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826A03-3547-4DCF-97FA-6D321829D17D}" name="PivotTable10" cacheId="1" applyNumberFormats="0" applyBorderFormats="0" applyFontFormats="0" applyPatternFormats="0" applyAlignmentFormats="0" applyWidthHeightFormats="1" dataCaption="Values" tag="bb4864f8-05e8-4942-9a39-5880cb072f0d" updatedVersion="8" minRefreshableVersion="5" subtotalHiddenItems="1" itemPrintTitles="1" createdVersion="5" indent="0" outline="1" outlineData="1" multipleFieldFilters="0" chartFormat="34">
  <location ref="D22:E24" firstHeaderRow="1" firstDataRow="1" firstDataCol="1"/>
  <pivotFields count="8">
    <pivotField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6"/>
  </rowFields>
  <rowItems count="2">
    <i>
      <x/>
    </i>
    <i t="grand">
      <x/>
    </i>
  </rowItems>
  <colItems count="1">
    <i/>
  </colItems>
  <dataFields count="1">
    <dataField name="Sum of Bill Amount" fld="2" baseField="1" baseItem="0"/>
  </dataFields>
  <chartFormats count="5">
    <chartFormat chart="19"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D61C85-E68A-4EB9-9B72-28794F6D62D7}" name="PivotTable5" cacheId="18" applyNumberFormats="0" applyBorderFormats="0" applyFontFormats="0" applyPatternFormats="0" applyAlignmentFormats="0" applyWidthHeightFormats="1" dataCaption="Values" tag="a905f150-b4f1-439c-9d8c-3a0960ff8882" updatedVersion="8" minRefreshableVersion="5" subtotalHiddenItems="1" itemPrintTitles="1" createdVersion="5" indent="0" outline="1" outlineData="1" multipleFieldFilters="0">
  <location ref="A25:A26"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Age" fld="0" subtotal="average" baseField="0" baseItem="0"/>
  </dataFields>
  <formats count="1">
    <format dxfId="8">
      <pivotArea outline="0" collapsedLevelsAreSubtotals="1" fieldPosition="0"/>
    </format>
  </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Bill Amount"/>
    <pivotHierarchy dragToData="1" caption="Max of Bill Amount"/>
    <pivotHierarchy dragToData="1"/>
    <pivotHierarchy dragToData="1" caption="Average of A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E2C1B64-FFBD-4058-854B-D605A3151507}" name="PivotTable15" cacheId="6" applyNumberFormats="0" applyBorderFormats="0" applyFontFormats="0" applyPatternFormats="0" applyAlignmentFormats="0" applyWidthHeightFormats="1" dataCaption="Values" tag="c21a3306-a091-42eb-8ce2-05db8ce7f7cf" updatedVersion="8" minRefreshableVersion="5" subtotalHiddenItems="1" itemPrintTitles="1" createdVersion="5" indent="0" outline="1" outlineData="1" multipleFieldFilters="0" chartFormat="60">
  <location ref="G22:H24" firstHeaderRow="1" firstDataRow="1" firstDataCol="1"/>
  <pivotFields count="8">
    <pivotField allDrilled="1" subtotalTop="0" showAll="0" dataSourceSort="1" defaultSubtotal="0" defaultAttributeDrillState="1"/>
    <pivotField axis="axisRow" allDrilled="1" subtotalTop="0" showAll="0" dataSourceSort="1" defaultSubtotal="0" defaultAttributeDrillState="1">
      <items count="29">
        <item s="1"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Bill Amount" fld="2" baseField="1" baseItem="0"/>
  </dataFields>
  <chartFormats count="33">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51" format="29" series="1">
      <pivotArea type="data" outline="0" fieldPosition="0">
        <references count="1">
          <reference field="4294967294" count="1" selected="0">
            <x v="0"/>
          </reference>
        </references>
      </pivotArea>
    </chartFormat>
    <chartFormat chart="51" format="30">
      <pivotArea type="data" outline="0" fieldPosition="0">
        <references count="2">
          <reference field="4294967294" count="1" selected="0">
            <x v="0"/>
          </reference>
          <reference field="1" count="1" selected="0">
            <x v="0"/>
          </reference>
        </references>
      </pivotArea>
    </chartFormat>
    <chartFormat chart="51" format="31">
      <pivotArea type="data" outline="0" fieldPosition="0">
        <references count="2">
          <reference field="4294967294" count="1" selected="0">
            <x v="0"/>
          </reference>
          <reference field="1" count="1" selected="0">
            <x v="4"/>
          </reference>
        </references>
      </pivotArea>
    </chartFormat>
    <chartFormat chart="51" format="32">
      <pivotArea type="data" outline="0" fieldPosition="0">
        <references count="2">
          <reference field="4294967294" count="1" selected="0">
            <x v="0"/>
          </reference>
          <reference field="1" count="1" selected="0">
            <x v="8"/>
          </reference>
        </references>
      </pivotArea>
    </chartFormat>
    <chartFormat chart="51" format="33">
      <pivotArea type="data" outline="0" fieldPosition="0">
        <references count="2">
          <reference field="4294967294" count="1" selected="0">
            <x v="0"/>
          </reference>
          <reference field="1" count="1" selected="0">
            <x v="9"/>
          </reference>
        </references>
      </pivotArea>
    </chartFormat>
    <chartFormat chart="51" format="34">
      <pivotArea type="data" outline="0" fieldPosition="0">
        <references count="2">
          <reference field="4294967294" count="1" selected="0">
            <x v="0"/>
          </reference>
          <reference field="1" count="1" selected="0">
            <x v="3"/>
          </reference>
        </references>
      </pivotArea>
    </chartFormat>
    <chartFormat chart="51" format="35">
      <pivotArea type="data" outline="0" fieldPosition="0">
        <references count="2">
          <reference field="4294967294" count="1" selected="0">
            <x v="0"/>
          </reference>
          <reference field="1" count="1" selected="0">
            <x v="10"/>
          </reference>
        </references>
      </pivotArea>
    </chartFormat>
    <chartFormat chart="51" format="36">
      <pivotArea type="data" outline="0" fieldPosition="0">
        <references count="2">
          <reference field="4294967294" count="1" selected="0">
            <x v="0"/>
          </reference>
          <reference field="1" count="1" selected="0">
            <x v="11"/>
          </reference>
        </references>
      </pivotArea>
    </chartFormat>
    <chartFormat chart="51" format="37">
      <pivotArea type="data" outline="0" fieldPosition="0">
        <references count="2">
          <reference field="4294967294" count="1" selected="0">
            <x v="0"/>
          </reference>
          <reference field="1" count="1" selected="0">
            <x v="12"/>
          </reference>
        </references>
      </pivotArea>
    </chartFormat>
    <chartFormat chart="51" format="38">
      <pivotArea type="data" outline="0" fieldPosition="0">
        <references count="2">
          <reference field="4294967294" count="1" selected="0">
            <x v="0"/>
          </reference>
          <reference field="1" count="1" selected="0">
            <x v="13"/>
          </reference>
        </references>
      </pivotArea>
    </chartFormat>
    <chartFormat chart="51" format="39">
      <pivotArea type="data" outline="0" fieldPosition="0">
        <references count="2">
          <reference field="4294967294" count="1" selected="0">
            <x v="0"/>
          </reference>
          <reference field="1" count="1" selected="0">
            <x v="14"/>
          </reference>
        </references>
      </pivotArea>
    </chartFormat>
    <chartFormat chart="51" format="40">
      <pivotArea type="data" outline="0" fieldPosition="0">
        <references count="2">
          <reference field="4294967294" count="1" selected="0">
            <x v="0"/>
          </reference>
          <reference field="1" count="1" selected="0">
            <x v="16"/>
          </reference>
        </references>
      </pivotArea>
    </chartFormat>
    <chartFormat chart="51" format="41">
      <pivotArea type="data" outline="0" fieldPosition="0">
        <references count="2">
          <reference field="4294967294" count="1" selected="0">
            <x v="0"/>
          </reference>
          <reference field="1" count="1" selected="0">
            <x v="17"/>
          </reference>
        </references>
      </pivotArea>
    </chartFormat>
    <chartFormat chart="51" format="42">
      <pivotArea type="data" outline="0" fieldPosition="0">
        <references count="2">
          <reference field="4294967294" count="1" selected="0">
            <x v="0"/>
          </reference>
          <reference field="1" count="1" selected="0">
            <x v="2"/>
          </reference>
        </references>
      </pivotArea>
    </chartFormat>
    <chartFormat chart="51" format="43">
      <pivotArea type="data" outline="0" fieldPosition="0">
        <references count="2">
          <reference field="4294967294" count="1" selected="0">
            <x v="0"/>
          </reference>
          <reference field="1" count="1" selected="0">
            <x v="18"/>
          </reference>
        </references>
      </pivotArea>
    </chartFormat>
    <chartFormat chart="51" format="44">
      <pivotArea type="data" outline="0" fieldPosition="0">
        <references count="2">
          <reference field="4294967294" count="1" selected="0">
            <x v="0"/>
          </reference>
          <reference field="1" count="1" selected="0">
            <x v="19"/>
          </reference>
        </references>
      </pivotArea>
    </chartFormat>
    <chartFormat chart="51" format="45">
      <pivotArea type="data" outline="0" fieldPosition="0">
        <references count="2">
          <reference field="4294967294" count="1" selected="0">
            <x v="0"/>
          </reference>
          <reference field="1" count="1" selected="0">
            <x v="20"/>
          </reference>
        </references>
      </pivotArea>
    </chartFormat>
    <chartFormat chart="51" format="46">
      <pivotArea type="data" outline="0" fieldPosition="0">
        <references count="2">
          <reference field="4294967294" count="1" selected="0">
            <x v="0"/>
          </reference>
          <reference field="1" count="1" selected="0">
            <x v="21"/>
          </reference>
        </references>
      </pivotArea>
    </chartFormat>
    <chartFormat chart="51" format="47">
      <pivotArea type="data" outline="0" fieldPosition="0">
        <references count="2">
          <reference field="4294967294" count="1" selected="0">
            <x v="0"/>
          </reference>
          <reference field="1" count="1" selected="0">
            <x v="22"/>
          </reference>
        </references>
      </pivotArea>
    </chartFormat>
    <chartFormat chart="51" format="48">
      <pivotArea type="data" outline="0" fieldPosition="0">
        <references count="2">
          <reference field="4294967294" count="1" selected="0">
            <x v="0"/>
          </reference>
          <reference field="1" count="1" selected="0">
            <x v="23"/>
          </reference>
        </references>
      </pivotArea>
    </chartFormat>
    <chartFormat chart="51" format="49">
      <pivotArea type="data" outline="0" fieldPosition="0">
        <references count="2">
          <reference field="4294967294" count="1" selected="0">
            <x v="0"/>
          </reference>
          <reference field="1" count="1" selected="0">
            <x v="24"/>
          </reference>
        </references>
      </pivotArea>
    </chartFormat>
    <chartFormat chart="51" format="50">
      <pivotArea type="data" outline="0" fieldPosition="0">
        <references count="2">
          <reference field="4294967294" count="1" selected="0">
            <x v="0"/>
          </reference>
          <reference field="1" count="1" selected="0">
            <x v="25"/>
          </reference>
        </references>
      </pivotArea>
    </chartFormat>
    <chartFormat chart="51" format="51">
      <pivotArea type="data" outline="0" fieldPosition="0">
        <references count="2">
          <reference field="4294967294" count="1" selected="0">
            <x v="0"/>
          </reference>
          <reference field="1" count="1" selected="0">
            <x v="27"/>
          </reference>
        </references>
      </pivotArea>
    </chartFormat>
    <chartFormat chart="51" format="52">
      <pivotArea type="data" outline="0" fieldPosition="0">
        <references count="2">
          <reference field="4294967294" count="1" selected="0">
            <x v="0"/>
          </reference>
          <reference field="1" count="1" selected="0">
            <x v="28"/>
          </reference>
        </references>
      </pivotArea>
    </chartFormat>
    <chartFormat chart="51" format="53">
      <pivotArea type="data" outline="0" fieldPosition="0">
        <references count="2">
          <reference field="4294967294" count="1" selected="0">
            <x v="0"/>
          </reference>
          <reference field="1" count="1" selected="0">
            <x v="5"/>
          </reference>
        </references>
      </pivotArea>
    </chartFormat>
    <chartFormat chart="51" format="54">
      <pivotArea type="data" outline="0" fieldPosition="0">
        <references count="2">
          <reference field="4294967294" count="1" selected="0">
            <x v="0"/>
          </reference>
          <reference field="1" count="1" selected="0">
            <x v="7"/>
          </reference>
        </references>
      </pivotArea>
    </chartFormat>
    <chartFormat chart="51" format="55">
      <pivotArea type="data" outline="0" fieldPosition="0">
        <references count="2">
          <reference field="4294967294" count="1" selected="0">
            <x v="0"/>
          </reference>
          <reference field="1" count="1" selected="0">
            <x v="6"/>
          </reference>
        </references>
      </pivotArea>
    </chartFormat>
    <chartFormat chart="51" format="56">
      <pivotArea type="data" outline="0" fieldPosition="0">
        <references count="2">
          <reference field="4294967294" count="1" selected="0">
            <x v="0"/>
          </reference>
          <reference field="1" count="1" selected="0">
            <x v="1"/>
          </reference>
        </references>
      </pivotArea>
    </chartFormat>
    <chartFormat chart="57" format="2" series="1">
      <pivotArea type="data" outline="0" fieldPosition="0">
        <references count="1">
          <reference field="4294967294" count="1" selected="0">
            <x v="0"/>
          </reference>
        </references>
      </pivotArea>
    </chartFormat>
    <chartFormat chart="51" format="57">
      <pivotArea type="data" outline="0" fieldPosition="0">
        <references count="2">
          <reference field="4294967294" count="1" selected="0">
            <x v="0"/>
          </reference>
          <reference field="1" count="1" selected="0">
            <x v="15"/>
          </reference>
        </references>
      </pivotArea>
    </chartFormat>
    <chartFormat chart="51" format="58">
      <pivotArea type="data" outline="0" fieldPosition="0">
        <references count="2">
          <reference field="4294967294" count="1" selected="0">
            <x v="0"/>
          </reference>
          <reference field="1" count="1" selected="0">
            <x v="26"/>
          </reference>
        </references>
      </pivotArea>
    </chartFormat>
  </chart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9224C18-4F21-4AB2-B0C5-767FA8087269}" name="PivotTable21" cacheId="13" dataOnRows="1" applyNumberFormats="0" applyBorderFormats="0" applyFontFormats="0" applyPatternFormats="0" applyAlignmentFormats="0" applyWidthHeightFormats="1" dataCaption="Patient Summary" tag="c8aef295-e053-4f78-a58e-01701c024cf3" updatedVersion="8" minRefreshableVersion="5" subtotalHiddenItems="1" itemPrintTitles="1" createdVersion="5" indent="0" outline="1" outlineData="1" multipleFieldFilters="0">
  <location ref="F65:G68" firstHeaderRow="1" firstDataRow="1" firstDataCol="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i="1">
      <x v="1"/>
    </i>
    <i i="2">
      <x v="2"/>
    </i>
  </rowItems>
  <colItems count="1">
    <i/>
  </colItems>
  <dataFields count="3">
    <dataField name="Total Patient" fld="5" subtotal="count" baseField="0" baseItem="1">
      <extLst>
        <ext xmlns:x15="http://schemas.microsoft.com/office/spreadsheetml/2010/11/main" uri="{FABC7310-3BB5-11E1-824E-6D434824019B}">
          <x15:dataField isCountDistinct="1"/>
        </ext>
      </extLst>
    </dataField>
    <dataField name="Average Patient Age" fld="6" subtotal="average" baseField="0" baseItem="1"/>
    <dataField name=" Length of Stay" fld="7" subtotal="average" baseField="0" baseItem="1"/>
  </dataFields>
  <formats count="23">
    <format dxfId="31">
      <pivotArea outline="0" collapsedLevelsAreSubtotals="1" fieldPosition="0"/>
    </format>
    <format dxfId="30">
      <pivotArea field="-2" type="button" dataOnly="0" labelOnly="1" outline="0" axis="axisRow" fieldPosition="0"/>
    </format>
    <format dxfId="29">
      <pivotArea dataOnly="0" labelOnly="1" grandCol="1" outline="0" axis="axisCol" fieldPosition="0"/>
    </format>
    <format dxfId="28">
      <pivotArea field="-2" type="button" dataOnly="0" labelOnly="1" outline="0" axis="axisRow" fieldPosition="0"/>
    </format>
    <format dxfId="27">
      <pivotArea dataOnly="0" labelOnly="1" grandCol="1" outline="0" axis="axisCol" fieldPosition="0"/>
    </format>
    <format dxfId="26">
      <pivotArea field="-2" type="button" dataOnly="0" labelOnly="1" outline="0" axis="axisRow" fieldPosition="0"/>
    </format>
    <format dxfId="25">
      <pivotArea dataOnly="0" labelOnly="1" grandCol="1" outline="0" axis="axisCol" fieldPosition="0"/>
    </format>
    <format dxfId="24">
      <pivotArea field="-2" type="button" dataOnly="0" labelOnly="1" outline="0" axis="axisRow" fieldPosition="0"/>
    </format>
    <format dxfId="23">
      <pivotArea dataOnly="0" labelOnly="1" grandCol="1" outline="0" axis="axisCol" fieldPosition="0"/>
    </format>
    <format dxfId="22">
      <pivotArea type="all" dataOnly="0" outline="0" fieldPosition="0"/>
    </format>
    <format dxfId="21">
      <pivotArea outline="0" collapsedLevelsAreSubtotals="1" fieldPosition="0"/>
    </format>
    <format dxfId="20">
      <pivotArea field="-2" type="button" dataOnly="0" labelOnly="1" outline="0" axis="axisRow" fieldPosition="0"/>
    </format>
    <format dxfId="19">
      <pivotArea dataOnly="0" labelOnly="1" outline="0" fieldPosition="0">
        <references count="1">
          <reference field="4294967294" count="3">
            <x v="0"/>
            <x v="1"/>
            <x v="2"/>
          </reference>
        </references>
      </pivotArea>
    </format>
    <format dxfId="18">
      <pivotArea dataOnly="0" labelOnly="1" grandCol="1" outline="0" axis="axisCol" fieldPosition="0"/>
    </format>
    <format dxfId="17">
      <pivotArea dataOnly="0" outline="0" fieldPosition="0">
        <references count="1">
          <reference field="4294967294" count="3">
            <x v="0"/>
            <x v="1"/>
            <x v="2"/>
          </reference>
        </references>
      </pivotArea>
    </format>
    <format dxfId="16">
      <pivotArea collapsedLevelsAreSubtotals="1" fieldPosition="0">
        <references count="1">
          <reference field="4294967294" count="2">
            <x v="0"/>
            <x v="1"/>
          </reference>
        </references>
      </pivotArea>
    </format>
    <format dxfId="15">
      <pivotArea collapsedLevelsAreSubtotals="1" fieldPosition="0">
        <references count="1">
          <reference field="4294967294" count="1">
            <x v="2"/>
          </reference>
        </references>
      </pivotArea>
    </format>
    <format dxfId="14">
      <pivotArea type="all" dataOnly="0" outline="0" fieldPosition="0"/>
    </format>
    <format dxfId="13">
      <pivotArea outline="0" collapsedLevelsAreSubtotals="1" fieldPosition="0"/>
    </format>
    <format dxfId="12">
      <pivotArea field="-2" type="button" dataOnly="0" labelOnly="1" outline="0" axis="axisRow" fieldPosition="0"/>
    </format>
    <format dxfId="11">
      <pivotArea dataOnly="0" labelOnly="1" outline="0" fieldPosition="0">
        <references count="1">
          <reference field="4294967294" count="3">
            <x v="0"/>
            <x v="1"/>
            <x v="2"/>
          </reference>
        </references>
      </pivotArea>
    </format>
    <format dxfId="10">
      <pivotArea dataOnly="0" labelOnly="1" grandCol="1" outline="0" axis="axisCol" fieldPosition="0"/>
    </format>
    <format dxfId="9">
      <pivotArea collapsedLevelsAreSubtotals="1" fieldPosition="0">
        <references count="1">
          <reference field="4294967294" count="1">
            <x v="0"/>
          </reference>
        </references>
      </pivotArea>
    </format>
  </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Patient"/>
    <pivotHierarchy dragToData="1"/>
    <pivotHierarchy dragToData="1" caption="Average of Bill Amount"/>
    <pivotHierarchy dragToData="1" caption="Max of Bill Amount"/>
    <pivotHierarchy dragToData="1"/>
    <pivotHierarchy dragToData="1" caption="Average Patient Age"/>
    <pivotHierarchy dragToData="1"/>
    <pivotHierarchy dragToData="1" caption=" Length of Stay"/>
    <pivotHierarchy dragToData="1"/>
    <pivotHierarchy dragToData="1"/>
    <pivotHierarchy dragToData="1"/>
    <pivotHierarchy dragToData="1"/>
    <pivotHierarchy dragToData="1" caption="Distinct Count of Treatments"/>
  </pivotHierarchies>
  <pivotTableStyleInfo name="PivotStyleLight16" showRowHeaders="1" showColHeaders="1" showRowStripes="0" showColStripes="0" showLastColumn="1"/>
  <filters count="1">
    <filter fld="4" type="dateBetween" evalOrder="-1" id="1"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417286E-C8FB-4D44-B6B7-A243379DD707}" name="PivotTable3" cacheId="16" applyNumberFormats="0" applyBorderFormats="0" applyFontFormats="0" applyPatternFormats="0" applyAlignmentFormats="0" applyWidthHeightFormats="1" dataCaption="Values" tag="237f8558-eb97-4db6-9163-0914405e7e3e" updatedVersion="8" minRefreshableVersion="5" subtotalHiddenItems="1" itemPrintTitles="1" createdVersion="5" indent="0" outline="1" outlineData="1" multipleFieldFilters="0">
  <location ref="A12:A13"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Bill Amount" fld="0" subtotal="average" baseField="0" baseItem="0" numFmtId="2"/>
  </dataFields>
  <formats count="1">
    <format dxfId="32">
      <pivotArea outline="0" collapsedLevelsAreSubtotals="1" fieldPosition="0"/>
    </format>
  </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Bil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F2831B0-3E4F-4327-9200-EC4E394342AD}" name="PivotTable20" cacheId="12" applyNumberFormats="0" applyBorderFormats="0" applyFontFormats="0" applyPatternFormats="0" applyAlignmentFormats="0" applyWidthHeightFormats="1" dataCaption="Values" tag="70960e83-fa72-4cfa-8629-2b5697f59295" updatedVersion="8" minRefreshableVersion="5" subtotalHiddenItems="1" itemPrintTitles="1" createdVersion="5" indent="0" outline="1" outlineData="1" multipleFieldFilters="0" chartFormat="35">
  <location ref="S22:T24" firstHeaderRow="1" firstDataRow="1" firstDataCol="1"/>
  <pivotFields count="8">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Count of Patient ID" fld="3" subtotal="count" baseField="0" baseItem="0"/>
  </dataFields>
  <chartFormats count="3">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BB14234-D13C-420B-9992-96705DF27C02}" name="PivotTable18" cacheId="9" applyNumberFormats="0" applyBorderFormats="0" applyFontFormats="0" applyPatternFormats="0" applyAlignmentFormats="0" applyWidthHeightFormats="1" dataCaption="Values" tag="9dcba7c2-d5c3-4167-94ec-7b9118948547" updatedVersion="8" minRefreshableVersion="5" subtotalHiddenItems="1" itemPrintTitles="1" createdVersion="5" indent="0" outline="1" outlineData="1" multipleFieldFilters="0" chartFormat="38">
  <location ref="P22:Q24" firstHeaderRow="1" firstDataRow="1" firstDataCol="1"/>
  <pivotFields count="8">
    <pivotField allDrilled="1" subtotalTop="0" showAll="0" dataSourceSort="1" defaultSubtotal="0" defaultAttributeDrillState="1"/>
    <pivotField axis="axisRow" allDrilled="1" subtotalTop="0" showAll="0" dataSourceSort="1" defaultAttributeDrillState="1">
      <items count="3">
        <item s="1" x="0"/>
        <item x="1"/>
        <item t="default"/>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Patient ID" fld="2" subtotal="count" baseField="1" baseItem="0"/>
  </dataFields>
  <chartFormats count="7">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1"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1" count="1" selected="0">
            <x v="1"/>
          </reference>
        </references>
      </pivotArea>
    </chartFormat>
    <chartFormat chart="34" format="6">
      <pivotArea type="data" outline="0" fieldPosition="0">
        <references count="2">
          <reference field="4294967294" count="1" selected="0">
            <x v="0"/>
          </reference>
          <reference field="1" count="1" selected="0">
            <x v="0"/>
          </reference>
        </references>
      </pivotArea>
    </chartFormat>
    <chartFormat chart="28" format="12">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C42FA8A-1526-4A61-8367-B02F8036E4F4}" name="PivotTable13" cacheId="4" applyNumberFormats="0" applyBorderFormats="0" applyFontFormats="0" applyPatternFormats="0" applyAlignmentFormats="0" applyWidthHeightFormats="1" dataCaption="Values" tag="8a9e4303-624e-4ec6-a8d2-ab1a44a69c34" updatedVersion="8" minRefreshableVersion="5" subtotalHiddenItems="1" itemPrintTitles="1" createdVersion="5" indent="0" outline="1" outlineData="1" multipleFieldFilters="0">
  <location ref="A54:A55"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Treatments" fld="0" subtotal="count" baseField="0" baseItem="0">
      <extLst>
        <ext xmlns:x15="http://schemas.microsoft.com/office/spreadsheetml/2010/11/main" uri="{FABC7310-3BB5-11E1-824E-6D434824019B}">
          <x15:dataField isCountDistinct="1"/>
        </ext>
      </extLst>
    </dataField>
  </dataFields>
  <formats count="1">
    <format dxfId="33">
      <pivotArea outline="0" collapsedLevelsAreSubtotals="1" fieldPosition="0"/>
    </format>
  </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Bill Amount"/>
    <pivotHierarchy dragToData="1" caption="Max of Bill Amount"/>
    <pivotHierarchy dragToData="1"/>
    <pivotHierarchy dragToData="1" caption="Average of Age"/>
    <pivotHierarchy dragToData="1"/>
    <pivotHierarchy dragToData="1" caption="Average of Length of Stay"/>
    <pivotHierarchy dragToData="1"/>
    <pivotHierarchy dragToData="1"/>
    <pivotHierarchy dragToData="1"/>
    <pivotHierarchy dragToData="1"/>
    <pivotHierarchy dragToData="1" caption="Distinct Count of Treatments"/>
  </pivotHierarchies>
  <pivotTableStyleInfo name="PivotStyleLight16" showRowHeaders="1" showColHeaders="1" showRowStripes="0" showColStripes="0" showLastColumn="1"/>
  <filters count="1">
    <filter fld="5" type="dateBetween" evalOrder="-1" id="1"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8825130-FC83-4D46-B798-B3138AF00995}" name="PivotTable25" cacheId="15" dataOnRows="1" applyNumberFormats="0" applyBorderFormats="0" applyFontFormats="0" applyPatternFormats="0" applyAlignmentFormats="0" applyWidthHeightFormats="1" dataCaption="Revenue Summary" tag="c22b3e3c-2488-4857-99a9-82bce02778c2" updatedVersion="8" minRefreshableVersion="5" pageWrap="7" subtotalHiddenItems="1" itemPrintTitles="1" createdVersion="5" indent="0" compact="0" compactData="0" multipleFieldFilters="0">
  <location ref="C65:D68" firstHeaderRow="1" firstDataRow="1" firstDataCol="1"/>
  <pivotFields count="1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3">
    <i>
      <x/>
    </i>
    <i i="1">
      <x v="1"/>
    </i>
    <i i="2">
      <x v="2"/>
    </i>
  </rowItems>
  <colItems count="1">
    <i/>
  </colItems>
  <dataFields count="3">
    <dataField name="Sum of Bill Amount" fld="0" baseField="0" baseItem="0"/>
    <dataField name="Average Bill Amount" fld="6" subtotal="average" baseField="0" baseItem="1" numFmtId="2"/>
    <dataField name="Max of Bill Amount3" fld="7" subtotal="max" baseField="0" baseItem="2"/>
  </dataFields>
  <formats count="26">
    <format dxfId="59">
      <pivotArea type="all" dataOnly="0" outline="0" fieldPosition="0"/>
    </format>
    <format dxfId="58">
      <pivotArea outline="0" collapsedLevelsAreSubtotals="1" fieldPosition="0"/>
    </format>
    <format dxfId="57">
      <pivotArea field="-2" type="button" dataOnly="0" labelOnly="1" outline="0" axis="axisRow" fieldPosition="0"/>
    </format>
    <format dxfId="56">
      <pivotArea dataOnly="0" labelOnly="1" outline="0" fieldPosition="0">
        <references count="1">
          <reference field="4294967294" count="3">
            <x v="0"/>
            <x v="1"/>
            <x v="2"/>
          </reference>
        </references>
      </pivotArea>
    </format>
    <format dxfId="55">
      <pivotArea dataOnly="0" labelOnly="1" grandCol="1" outline="0" axis="axisCol" fieldPosition="0"/>
    </format>
    <format dxfId="54">
      <pivotArea type="all" dataOnly="0" outline="0" fieldPosition="0"/>
    </format>
    <format dxfId="53">
      <pivotArea outline="0" collapsedLevelsAreSubtotals="1" fieldPosition="0"/>
    </format>
    <format dxfId="52">
      <pivotArea field="-2" type="button" dataOnly="0" labelOnly="1" outline="0" axis="axisRow" fieldPosition="0"/>
    </format>
    <format dxfId="51">
      <pivotArea dataOnly="0" labelOnly="1" outline="0" fieldPosition="0">
        <references count="1">
          <reference field="4294967294" count="3">
            <x v="0"/>
            <x v="1"/>
            <x v="2"/>
          </reference>
        </references>
      </pivotArea>
    </format>
    <format dxfId="50">
      <pivotArea dataOnly="0" labelOnly="1" grandCol="1" outline="0" axis="axisCol" fieldPosition="0"/>
    </format>
    <format dxfId="49">
      <pivotArea type="all" dataOnly="0" outline="0" fieldPosition="0"/>
    </format>
    <format dxfId="48">
      <pivotArea dataOnly="0" labelOnly="1" outline="0" fieldPosition="0">
        <references count="1">
          <reference field="4294967294" count="3">
            <x v="0"/>
            <x v="1"/>
            <x v="2"/>
          </reference>
        </references>
      </pivotArea>
    </format>
    <format dxfId="47">
      <pivotArea outline="0" collapsedLevelsAreSubtotals="1" fieldPosition="0"/>
    </format>
    <format dxfId="46">
      <pivotArea outline="0" fieldPosition="0">
        <references count="1">
          <reference field="4294967294" count="1" selected="0">
            <x v="1"/>
          </reference>
        </references>
      </pivotArea>
    </format>
    <format dxfId="45">
      <pivotArea field="-2" type="button" dataOnly="0" labelOnly="1" outline="0" axis="axisRow" fieldPosition="0"/>
    </format>
    <format dxfId="44">
      <pivotArea dataOnly="0" labelOnly="1" grandCol="1" outline="0" axis="axisCol" fieldPosition="0"/>
    </format>
    <format dxfId="43">
      <pivotArea field="-2" type="button" dataOnly="0" labelOnly="1" outline="0" axis="axisRow" fieldPosition="0"/>
    </format>
    <format dxfId="42">
      <pivotArea dataOnly="0" labelOnly="1" grandCol="1" outline="0" axis="axisCol" fieldPosition="0"/>
    </format>
    <format dxfId="41">
      <pivotArea field="-2" type="button" dataOnly="0" labelOnly="1" outline="0" axis="axisRow" fieldPosition="0"/>
    </format>
    <format dxfId="40">
      <pivotArea dataOnly="0" labelOnly="1" grandCol="1" outline="0" axis="axisCol" fieldPosition="0"/>
    </format>
    <format dxfId="39">
      <pivotArea field="-2" type="button" dataOnly="0" labelOnly="1" outline="0" axis="axisRow" fieldPosition="0"/>
    </format>
    <format dxfId="38">
      <pivotArea type="all" dataOnly="0" outline="0" fieldPosition="0"/>
    </format>
    <format dxfId="37">
      <pivotArea outline="0" collapsedLevelsAreSubtotals="1" fieldPosition="0"/>
    </format>
    <format dxfId="36">
      <pivotArea field="-2" type="button" dataOnly="0" labelOnly="1" outline="0" axis="axisRow" fieldPosition="0"/>
    </format>
    <format dxfId="35">
      <pivotArea dataOnly="0" labelOnly="1" outline="0" fieldPosition="0">
        <references count="1">
          <reference field="4294967294" count="3">
            <x v="0"/>
            <x v="1"/>
            <x v="2"/>
          </reference>
        </references>
      </pivotArea>
    </format>
    <format dxfId="34">
      <pivotArea dataOnly="0" labelOnly="1" grandCol="1" outline="0" axis="axisCol" fieldPosition="0"/>
    </format>
  </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Bill Amount"/>
    <pivotHierarchy dragToData="1" caption="Max of Bill Amount3"/>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0" showRowStripes="0" showColStripes="0" showLastColumn="1"/>
  <filters count="1">
    <filter fld="4"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63FF80C-E212-4803-8F66-DA5F153674F1}" name="PivotTable17" cacheId="8" applyNumberFormats="0" applyBorderFormats="0" applyFontFormats="0" applyPatternFormats="0" applyAlignmentFormats="0" applyWidthHeightFormats="1" dataCaption="Values" tag="54ae3893-4fee-48ec-ab2c-307328336f32" updatedVersion="8" minRefreshableVersion="5" subtotalHiddenItems="1" itemPrintTitles="1" createdVersion="5" indent="0" outline="1" outlineData="1" multipleFieldFilters="0" chartFormat="41">
  <location ref="M22:N24" firstHeaderRow="1" firstDataRow="1" firstDataCol="1"/>
  <pivotFields count="9">
    <pivotField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Average of Bill Amount" fld="2" subtotal="average" baseField="1" baseItem="0" numFmtId="2"/>
  </dataFields>
  <formats count="1">
    <format dxfId="60">
      <pivotArea outline="0" collapsedLevelsAreSubtotals="1" fieldPosition="0"/>
    </format>
  </formats>
  <chartFormats count="4">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Bil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2E422F0-5630-4F1E-9886-18133C920811}" name="PivotTable9" cacheId="22" applyNumberFormats="0" applyBorderFormats="0" applyFontFormats="0" applyPatternFormats="0" applyAlignmentFormats="0" applyWidthHeightFormats="1" dataCaption="Values" tag="8ae04477-f7d0-491b-891a-c5ca6dcf9203" updatedVersion="8" minRefreshableVersion="5" subtotalHiddenItems="1" itemPrintTitles="1" createdVersion="5" indent="0" outline="1" outlineData="1" multipleFieldFilters="0" chartFormat="38">
  <location ref="P3:Q5" firstHeaderRow="1" firstDataRow="1" firstDataCol="1"/>
  <pivotFields count="8">
    <pivotField allDrilled="1" subtotalTop="0" showAll="0" dataSourceSort="1" defaultSubtotal="0" defaultAttributeDrillState="1">
      <items count="1">
        <item s="1" x="0"/>
      </items>
    </pivotField>
    <pivotField allDrilled="1" subtotalTop="0" showAll="0" dataSourceSort="1" defaultSubtotal="0" defaultAttributeDrillState="1">
      <items count="12">
        <item s="1"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6"/>
  </rowFields>
  <rowItems count="2">
    <i>
      <x/>
    </i>
    <i t="grand">
      <x/>
    </i>
  </rowItems>
  <colItems count="1">
    <i/>
  </colItems>
  <dataFields count="1">
    <dataField name="Average of Length of Stay" fld="2" subtotal="average" baseField="0" baseItem="0"/>
  </dataFields>
  <formats count="1">
    <format dxfId="61">
      <pivotArea grandRow="1" outline="0" collapsedLevelsAreSubtotals="1" fieldPosition="0"/>
    </format>
  </formats>
  <chartFormats count="3">
    <chartFormat chart="27" format="3" series="1">
      <pivotArea type="data" outline="0" fieldPosition="0">
        <references count="1">
          <reference field="4294967294" count="1" selected="0">
            <x v="0"/>
          </reference>
        </references>
      </pivotArea>
    </chartFormat>
    <chartFormat chart="34" format="8"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caption="Sum of Bill Amount"/>
    <pivotHierarchy dragToData="1" caption="Average of Bill Amount"/>
    <pivotHierarchy dragToData="1"/>
    <pivotHierarchy dragToData="1"/>
    <pivotHierarchy dragToData="1"/>
    <pivotHierarchy dragToData="1"/>
    <pivotHierarchy dragToData="1" caption="Average of Length of Sta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3731E2F-3374-4252-9069-735528FD6355}" name="PivotTable2" cacheId="11" applyNumberFormats="0" applyBorderFormats="0" applyFontFormats="0" applyPatternFormats="0" applyAlignmentFormats="0" applyWidthHeightFormats="1" dataCaption="Values" tag="1fcec0be-5993-4fad-bdb7-2b417f4252f8" updatedVersion="8" minRefreshableVersion="5" subtotalHiddenItems="1" itemPrintTitles="1" createdVersion="5" indent="0" outline="1" outlineData="1" multipleFieldFilters="0">
  <location ref="A7:A8"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Bill Amount" fld="0" baseField="0" baseItem="0"/>
  </dataFields>
  <pivotHierarchies count="38">
    <pivotHierarchy dragToData="1"/>
    <pivotHierarchy multipleItemSelectionAllowed="1" dragToData="1">
      <members count="1" level="1">
        <member name="[Calender Date].[Date (Year)].&amp;[2023]"/>
      </members>
    </pivotHierarchy>
    <pivotHierarchy multipleItemSelectionAllowed="1" dragToData="1">
      <members count="1" level="1">
        <member name="[Calender Date].[Date (Month)].&amp;[Jan]"/>
      </members>
    </pivotHierarchy>
    <pivotHierarchy dragToData="1"/>
    <pivotHierarchy dragToData="1"/>
    <pivotHierarchy dragToData="1"/>
    <pivotHierarchy dragToData="1"/>
    <pivotHierarchy multipleItemSelectionAllowed="1" dragToData="1">
      <members count="1" level="1">
        <member name="[hospital_records_2021_2024_with_bills].[Gender].&amp;[Male]"/>
      </members>
    </pivotHierarchy>
    <pivotHierarchy multipleItemSelectionAllowed="1" dragToData="1">
      <members count="1" level="1">
        <member name="[hospital_records_2021_2024_with_bills].[Medical Condition].&amp;[Allergies]"/>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hospital_records_2021_2024_with_bills].[Admit Year].&amp;[2022]"/>
      </members>
    </pivotHierarchy>
    <pivotHierarchy multipleItemSelectionAllowed="1" dragToData="1">
      <members count="1" level="1">
        <member name="[hospital_records_2021_2024_with_bills].[Age By Group].&amp;[50-59]"/>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hospital_records_2021_2024_with_bills].[Admi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ecords_2021_2024_with_bills]"/>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9A9F20-D9AB-4791-B00D-0B2425FB8255}" sourceName="[hospital_records_2021_2024_with_bills].[Gender]">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2"/>
    <pivotTable tabId="1" name="PivotTable25"/>
    <pivotTable tabId="1" name="PivotTable3"/>
    <pivotTable tabId="1" name="PivotTable4"/>
    <pivotTable tabId="1" name="PivotTable5"/>
    <pivotTable tabId="1" name="PivotTable6"/>
    <pivotTable tabId="1" name="PivotTable7"/>
    <pivotTable tabId="1" name="PivotTable8"/>
    <pivotTable tabId="1" name="PivotTable9"/>
    <pivotTable tabId="1" name="PivotTable23"/>
  </pivotTables>
  <data>
    <olap pivotCacheId="2041406116">
      <levels count="2">
        <level uniqueName="[hospital_records_2021_2024_with_bills].[Gender].[(All)]" sourceCaption="(All)" count="0"/>
        <level uniqueName="[hospital_records_2021_2024_with_bills].[Gender].[Gender]" sourceCaption="Gender" count="2" crossFilter="none">
          <ranges>
            <range startItem="0">
              <i n="[hospital_records_2021_2024_with_bills].[Gender].&amp;[Female]" c="Female"/>
              <i n="[hospital_records_2021_2024_with_bills].[Gender].&amp;[Male]" c="Male"/>
            </range>
          </ranges>
        </level>
      </levels>
      <selections count="1">
        <selection n="[hospital_records_2021_2024_with_bills].[Gender].&amp;[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49667345-C32A-41A7-816E-8568B1C0C429}" sourceName="[hospital_records_2021_2024_with_bills].[Medical Condition]">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2"/>
    <pivotTable tabId="1" name="PivotTable25"/>
    <pivotTable tabId="1" name="PivotTable3"/>
    <pivotTable tabId="1" name="PivotTable4"/>
    <pivotTable tabId="1" name="PivotTable5"/>
    <pivotTable tabId="1" name="PivotTable6"/>
    <pivotTable tabId="1" name="PivotTable7"/>
    <pivotTable tabId="1" name="PivotTable8"/>
    <pivotTable tabId="1" name="PivotTable9"/>
    <pivotTable tabId="1" name="PivotTable23"/>
  </pivotTables>
  <data>
    <olap pivotCacheId="2041406116">
      <levels count="2">
        <level uniqueName="[hospital_records_2021_2024_with_bills].[Medical Condition].[(All)]" sourceCaption="(All)" count="0"/>
        <level uniqueName="[hospital_records_2021_2024_with_bills].[Medical Condition].[Medical Condition]" sourceCaption="Medical Condition" count="29" crossFilter="none">
          <ranges>
            <range startItem="0">
              <i n="[hospital_records_2021_2024_with_bills].[Medical Condition].&amp;[Allergies]" c="Allergies"/>
              <i n="[hospital_records_2021_2024_with_bills].[Medical Condition].&amp;[Alzheimer's Disease]" c="Alzheimer's Disease"/>
              <i n="[hospital_records_2021_2024_with_bills].[Medical Condition].&amp;[Anxiety]" c="Anxiety"/>
              <i n="[hospital_records_2021_2024_with_bills].[Medical Condition].&amp;[Arthritis]" c="Arthritis"/>
              <i n="[hospital_records_2021_2024_with_bills].[Medical Condition].&amp;[Asthma]" c="Asthma"/>
              <i n="[hospital_records_2021_2024_with_bills].[Medical Condition].&amp;[Bronchitis]" c="Bronchitis"/>
              <i n="[hospital_records_2021_2024_with_bills].[Medical Condition].&amp;[Burns]" c="Burns"/>
              <i n="[hospital_records_2021_2024_with_bills].[Medical Condition].&amp;[Cancer]" c="Cancer"/>
              <i n="[hospital_records_2021_2024_with_bills].[Medical Condition].&amp;[Chronic Kidney Disease]" c="Chronic Kidney Disease"/>
              <i n="[hospital_records_2021_2024_with_bills].[Medical Condition].&amp;[Chronic Obstructive Pulmonary Disease]" c="Chronic Obstructive Pulmonary Disease"/>
              <i n="[hospital_records_2021_2024_with_bills].[Medical Condition].&amp;[Common Cold]" c="Common Cold"/>
              <i n="[hospital_records_2021_2024_with_bills].[Medical Condition].&amp;[COVID-19]" c="COVID-19"/>
              <i n="[hospital_records_2021_2024_with_bills].[Medical Condition].&amp;[Depression]" c="Depression"/>
              <i n="[hospital_records_2021_2024_with_bills].[Medical Condition].&amp;[Diabetes]" c="Diabetes"/>
              <i n="[hospital_records_2021_2024_with_bills].[Medical Condition].&amp;[Epilepsy]" c="Epilepsy"/>
              <i n="[hospital_records_2021_2024_with_bills].[Medical Condition].&amp;[Fracture]" c="Fracture"/>
              <i n="[hospital_records_2021_2024_with_bills].[Medical Condition].&amp;[Gastroenteritis]" c="Gastroenteritis"/>
              <i n="[hospital_records_2021_2024_with_bills].[Medical Condition].&amp;[Heart Disease]" c="Heart Disease"/>
              <i n="[hospital_records_2021_2024_with_bills].[Medical Condition].&amp;[Hypertension]" c="Hypertension"/>
              <i n="[hospital_records_2021_2024_with_bills].[Medical Condition].&amp;[Influenza]" c="Influenza"/>
              <i n="[hospital_records_2021_2024_with_bills].[Medical Condition].&amp;[Migraine]" c="Migraine"/>
              <i n="[hospital_records_2021_2024_with_bills].[Medical Condition].&amp;[Multiple Sclerosis]" c="Multiple Sclerosis"/>
              <i n="[hospital_records_2021_2024_with_bills].[Medical Condition].&amp;[Parkinson's Disease]" c="Parkinson's Disease"/>
              <i n="[hospital_records_2021_2024_with_bills].[Medical Condition].&amp;[Pneumonia]" c="Pneumonia"/>
              <i n="[hospital_records_2021_2024_with_bills].[Medical Condition].&amp;[Sinusitis]" c="Sinusitis"/>
              <i n="[hospital_records_2021_2024_with_bills].[Medical Condition].&amp;[Skin Infection]" c="Skin Infection"/>
              <i n="[hospital_records_2021_2024_with_bills].[Medical Condition].&amp;[Sprain]" c="Sprain"/>
              <i n="[hospital_records_2021_2024_with_bills].[Medical Condition].&amp;[Stroke]" c="Stroke"/>
              <i n="[hospital_records_2021_2024_with_bills].[Medical Condition].&amp;[Urinary Tract Infection]" c="Urinary Tract Infection"/>
            </range>
          </ranges>
        </level>
      </levels>
      <selections count="1">
        <selection n="[hospital_records_2021_2024_with_bills].[Medical Condition].&amp;[Allergi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t_Year" xr10:uid="{636E1287-3E7C-4150-ABDD-0A904E334FC9}" sourceName="[hospital_records_2021_2024_with_bills].[Admit Year]">
  <pivotTables>
    <pivotTable tabId="1" name="PivotTable21"/>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2"/>
    <pivotTable tabId="1" name="PivotTable25"/>
    <pivotTable tabId="1" name="PivotTable3"/>
    <pivotTable tabId="1" name="PivotTable4"/>
    <pivotTable tabId="1" name="PivotTable5"/>
    <pivotTable tabId="1" name="PivotTable6"/>
    <pivotTable tabId="1" name="PivotTable7"/>
    <pivotTable tabId="1" name="PivotTable8"/>
    <pivotTable tabId="1" name="PivotTable9"/>
    <pivotTable tabId="1" name="PivotTable23"/>
  </pivotTables>
  <data>
    <olap pivotCacheId="2041406116">
      <levels count="2">
        <level uniqueName="[hospital_records_2021_2024_with_bills].[Admit Year].[(All)]" sourceCaption="(All)" count="0"/>
        <level uniqueName="[hospital_records_2021_2024_with_bills].[Admit Year].[Admit Year]" sourceCaption="Admit Year" count="4" crossFilter="none">
          <ranges>
            <range startItem="0">
              <i n="[hospital_records_2021_2024_with_bills].[Admit Year].&amp;[2021]" c="2021"/>
              <i n="[hospital_records_2021_2024_with_bills].[Admit Year].&amp;[2022]" c="2022"/>
              <i n="[hospital_records_2021_2024_with_bills].[Admit Year].&amp;[2023]" c="2023"/>
              <i n="[hospital_records_2021_2024_with_bills].[Admit Year].&amp;[2024]" c="2024"/>
            </range>
          </ranges>
        </level>
      </levels>
      <selections count="1">
        <selection n="[hospital_records_2021_2024_with_bills].[Admit Year].&amp;[2022]"/>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y_Group" xr10:uid="{22BDD167-8440-4BC9-8BB0-3F0DB9F22D4D}" sourceName="[hospital_records_2021_2024_with_bills].[Age By Group]">
  <pivotTables>
    <pivotTable tabId="1" name="PivotTable21"/>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2"/>
    <pivotTable tabId="1" name="PivotTable25"/>
    <pivotTable tabId="1" name="PivotTable3"/>
    <pivotTable tabId="1" name="PivotTable4"/>
    <pivotTable tabId="1" name="PivotTable5"/>
    <pivotTable tabId="1" name="PivotTable6"/>
    <pivotTable tabId="1" name="PivotTable7"/>
    <pivotTable tabId="1" name="PivotTable8"/>
    <pivotTable tabId="1" name="PivotTable9"/>
    <pivotTable tabId="1" name="PivotTable23"/>
  </pivotTables>
  <data>
    <olap pivotCacheId="2041406116">
      <levels count="2">
        <level uniqueName="[hospital_records_2021_2024_with_bills].[Age By Group].[(All)]" sourceCaption="(All)" count="0"/>
        <level uniqueName="[hospital_records_2021_2024_with_bills].[Age By Group].[Age By Group]" sourceCaption="Age By Group" count="8" crossFilter="none">
          <ranges>
            <range startItem="0">
              <i n="[hospital_records_2021_2024_with_bills].[Age By Group].&amp;[0.09]" c="0.09"/>
              <i n="[hospital_records_2021_2024_with_bills].[Age By Group].&amp;[10-19]" c="10-19"/>
              <i n="[hospital_records_2021_2024_with_bills].[Age By Group].&amp;[20-19]" c="20-19"/>
              <i n="[hospital_records_2021_2024_with_bills].[Age By Group].&amp;[30-39]" c="30-39"/>
              <i n="[hospital_records_2021_2024_with_bills].[Age By Group].&amp;[40-49]" c="40-49"/>
              <i n="[hospital_records_2021_2024_with_bills].[Age By Group].&amp;[50-59]" c="50-59"/>
              <i n="[hospital_records_2021_2024_with_bills].[Age By Group].&amp;[60-69]" c="60-69"/>
              <i n="[hospital_records_2021_2024_with_bills].[Age By Group].&amp;[70-79]" c="70-79"/>
            </range>
          </ranges>
        </level>
      </levels>
      <selections count="1">
        <selection n="[hospital_records_2021_2024_with_bills].[Age By Group].&amp;[50-59]"/>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E5C42CA-A78C-438E-9F0B-070C3EA965A1}" cache="Slicer_Gender" caption="Gender" showCaption="0" level="1" style="SlicerStyleDark1" rowHeight="247650"/>
  <slicer name="Medical Condition" xr10:uid="{6F8CE1CE-D80A-46C0-8027-E44D741C12D2}" cache="Slicer_Medical_Condition" caption="Medical Condition" showCaption="0" level="1" style="SlicerStyleDark1" rowHeight="247650"/>
  <slicer name="Admit Year" xr10:uid="{3518A519-D3CE-43B5-BB30-73EBFD0589DC}" cache="Slicer_Admit_Year" caption="Admit Year" showCaption="0" level="1" style="SlicerStyleDark1" rowHeight="247650"/>
  <slicer name="Age By Group" xr10:uid="{B9659F70-5F46-4B50-A18D-787A7F763B4A}" cache="Slicer_Age_By_Group" caption="Age By Group" showCaption="0"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drawing" Target="../drawings/drawing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9AA6A-3AA9-472E-9220-4E078673A297}">
  <dimension ref="A2:T68"/>
  <sheetViews>
    <sheetView workbookViewId="0">
      <selection activeCell="A7" sqref="A7"/>
    </sheetView>
  </sheetViews>
  <sheetFormatPr defaultRowHeight="14.4"/>
  <cols>
    <col min="1" max="1" width="24.77734375" bestFit="1" customWidth="1"/>
    <col min="2" max="2" width="14.33203125" bestFit="1" customWidth="1"/>
    <col min="3" max="3" width="25.109375" customWidth="1"/>
    <col min="4" max="4" width="16.33203125" customWidth="1"/>
    <col min="5" max="5" width="23.44140625" bestFit="1" customWidth="1"/>
    <col min="6" max="6" width="20.5546875" customWidth="1"/>
    <col min="7" max="7" width="16.88671875" customWidth="1"/>
    <col min="8" max="8" width="16.6640625" bestFit="1" customWidth="1"/>
    <col min="10" max="10" width="16.6640625" bestFit="1" customWidth="1"/>
    <col min="11" max="11" width="19.5546875" bestFit="1" customWidth="1"/>
    <col min="13" max="13" width="25.44140625" bestFit="1" customWidth="1"/>
    <col min="14" max="14" width="20.5546875" bestFit="1" customWidth="1"/>
    <col min="16" max="16" width="24.5546875" bestFit="1" customWidth="1"/>
    <col min="17" max="17" width="21.44140625" bestFit="1" customWidth="1"/>
    <col min="19" max="19" width="33.109375" bestFit="1" customWidth="1"/>
    <col min="20" max="20" width="19.5546875" bestFit="1" customWidth="1"/>
  </cols>
  <sheetData>
    <row r="2" spans="1:17">
      <c r="A2" t="s">
        <v>1</v>
      </c>
      <c r="D2" t="s">
        <v>19</v>
      </c>
      <c r="J2" t="s">
        <v>20</v>
      </c>
      <c r="M2" t="s">
        <v>22</v>
      </c>
      <c r="P2" t="s">
        <v>21</v>
      </c>
    </row>
    <row r="3" spans="1:17">
      <c r="A3" t="s">
        <v>0</v>
      </c>
      <c r="D3" s="1" t="s">
        <v>12</v>
      </c>
      <c r="E3" t="s">
        <v>0</v>
      </c>
      <c r="G3" t="str">
        <f>TEXT(A2,"mmmm")</f>
        <v>No Of Patients</v>
      </c>
      <c r="J3" s="1" t="s">
        <v>12</v>
      </c>
      <c r="K3" t="s">
        <v>4</v>
      </c>
      <c r="M3" s="1" t="s">
        <v>12</v>
      </c>
      <c r="N3" t="s">
        <v>2</v>
      </c>
      <c r="P3" s="1" t="s">
        <v>12</v>
      </c>
      <c r="Q3" t="s">
        <v>10</v>
      </c>
    </row>
    <row r="4" spans="1:17">
      <c r="A4">
        <v>1</v>
      </c>
      <c r="D4" s="10">
        <v>2022</v>
      </c>
      <c r="E4">
        <v>1</v>
      </c>
      <c r="J4" s="10">
        <v>2022</v>
      </c>
      <c r="K4">
        <v>738</v>
      </c>
      <c r="M4" s="10">
        <v>2022</v>
      </c>
      <c r="N4">
        <v>738</v>
      </c>
      <c r="P4" s="10">
        <v>2022</v>
      </c>
      <c r="Q4">
        <v>4</v>
      </c>
    </row>
    <row r="5" spans="1:17">
      <c r="D5" s="10" t="s">
        <v>38</v>
      </c>
      <c r="E5">
        <v>1</v>
      </c>
      <c r="J5" s="10" t="s">
        <v>38</v>
      </c>
      <c r="K5" s="11">
        <v>738</v>
      </c>
      <c r="M5" s="10" t="s">
        <v>38</v>
      </c>
      <c r="N5" s="11">
        <v>738</v>
      </c>
      <c r="P5" s="10" t="s">
        <v>38</v>
      </c>
      <c r="Q5" s="11">
        <v>4</v>
      </c>
    </row>
    <row r="6" spans="1:17">
      <c r="A6" t="s">
        <v>3</v>
      </c>
    </row>
    <row r="7" spans="1:17">
      <c r="A7" t="s">
        <v>2</v>
      </c>
    </row>
    <row r="8" spans="1:17">
      <c r="A8">
        <v>738</v>
      </c>
    </row>
    <row r="11" spans="1:17">
      <c r="A11" t="s">
        <v>5</v>
      </c>
    </row>
    <row r="12" spans="1:17">
      <c r="A12" t="s">
        <v>4</v>
      </c>
    </row>
    <row r="13" spans="1:17">
      <c r="A13" s="2">
        <v>738</v>
      </c>
    </row>
    <row r="17" spans="1:20">
      <c r="A17" t="s">
        <v>7</v>
      </c>
    </row>
    <row r="18" spans="1:20">
      <c r="A18" t="s">
        <v>6</v>
      </c>
    </row>
    <row r="19" spans="1:20">
      <c r="A19" s="2">
        <v>738</v>
      </c>
    </row>
    <row r="21" spans="1:20">
      <c r="D21" t="s">
        <v>23</v>
      </c>
      <c r="G21" s="14" t="s">
        <v>25</v>
      </c>
      <c r="H21" s="14"/>
      <c r="I21" s="14"/>
      <c r="J21" t="s">
        <v>28</v>
      </c>
      <c r="M21" t="s">
        <v>27</v>
      </c>
      <c r="P21" t="s">
        <v>26</v>
      </c>
      <c r="S21" t="s">
        <v>29</v>
      </c>
    </row>
    <row r="22" spans="1:20">
      <c r="D22" s="1" t="s">
        <v>12</v>
      </c>
      <c r="E22" t="s">
        <v>2</v>
      </c>
      <c r="G22" s="1" t="s">
        <v>12</v>
      </c>
      <c r="H22" t="s">
        <v>2</v>
      </c>
      <c r="J22" s="1" t="s">
        <v>12</v>
      </c>
      <c r="K22" t="s">
        <v>24</v>
      </c>
      <c r="M22" s="1" t="s">
        <v>12</v>
      </c>
      <c r="N22" t="s">
        <v>4</v>
      </c>
      <c r="P22" s="1" t="s">
        <v>12</v>
      </c>
      <c r="Q22" t="s">
        <v>24</v>
      </c>
      <c r="S22" s="1" t="s">
        <v>12</v>
      </c>
      <c r="T22" t="s">
        <v>24</v>
      </c>
    </row>
    <row r="23" spans="1:20">
      <c r="D23" s="10">
        <v>2022</v>
      </c>
      <c r="E23">
        <v>738</v>
      </c>
      <c r="G23" s="10" t="s">
        <v>42</v>
      </c>
      <c r="H23">
        <v>738</v>
      </c>
      <c r="J23" s="10" t="s">
        <v>43</v>
      </c>
      <c r="K23">
        <v>1</v>
      </c>
      <c r="M23" s="10" t="s">
        <v>43</v>
      </c>
      <c r="N23" s="2">
        <v>738</v>
      </c>
      <c r="P23" s="10" t="s">
        <v>41</v>
      </c>
      <c r="Q23">
        <v>1</v>
      </c>
      <c r="S23" s="10" t="s">
        <v>42</v>
      </c>
      <c r="T23">
        <v>1</v>
      </c>
    </row>
    <row r="24" spans="1:20">
      <c r="A24" t="s">
        <v>9</v>
      </c>
      <c r="D24" s="10" t="s">
        <v>38</v>
      </c>
      <c r="E24">
        <v>738</v>
      </c>
      <c r="G24" s="10" t="s">
        <v>38</v>
      </c>
      <c r="H24">
        <v>738</v>
      </c>
      <c r="J24" s="10" t="s">
        <v>38</v>
      </c>
      <c r="K24">
        <v>1</v>
      </c>
      <c r="M24" s="10" t="s">
        <v>38</v>
      </c>
      <c r="N24" s="2">
        <v>738</v>
      </c>
      <c r="P24" s="10" t="s">
        <v>38</v>
      </c>
      <c r="Q24">
        <v>1</v>
      </c>
      <c r="S24" s="10" t="s">
        <v>38</v>
      </c>
      <c r="T24">
        <v>1</v>
      </c>
    </row>
    <row r="25" spans="1:20">
      <c r="A25" t="s">
        <v>8</v>
      </c>
    </row>
    <row r="26" spans="1:20">
      <c r="A26" s="2">
        <v>58</v>
      </c>
    </row>
    <row r="29" spans="1:20">
      <c r="D29" t="s">
        <v>31</v>
      </c>
    </row>
    <row r="30" spans="1:20">
      <c r="D30" s="1" t="s">
        <v>12</v>
      </c>
      <c r="E30" t="s">
        <v>2</v>
      </c>
    </row>
    <row r="31" spans="1:20">
      <c r="A31" t="s">
        <v>11</v>
      </c>
      <c r="D31" s="10" t="s">
        <v>39</v>
      </c>
      <c r="E31">
        <v>738</v>
      </c>
    </row>
    <row r="32" spans="1:20">
      <c r="A32" t="s">
        <v>10</v>
      </c>
      <c r="D32" s="10" t="s">
        <v>38</v>
      </c>
      <c r="E32">
        <v>738</v>
      </c>
    </row>
    <row r="33" spans="1:2">
      <c r="A33" s="2">
        <v>4</v>
      </c>
    </row>
    <row r="38" spans="1:2">
      <c r="A38" t="s">
        <v>14</v>
      </c>
    </row>
    <row r="39" spans="1:2">
      <c r="A39" s="1" t="s">
        <v>12</v>
      </c>
      <c r="B39" t="s">
        <v>13</v>
      </c>
    </row>
    <row r="40" spans="1:2">
      <c r="A40" s="10" t="s">
        <v>41</v>
      </c>
      <c r="B40" s="2">
        <v>1</v>
      </c>
    </row>
    <row r="41" spans="1:2">
      <c r="A41" s="10" t="s">
        <v>38</v>
      </c>
      <c r="B41" s="2">
        <v>1</v>
      </c>
    </row>
    <row r="47" spans="1:2">
      <c r="A47" t="s">
        <v>16</v>
      </c>
    </row>
    <row r="48" spans="1:2">
      <c r="A48" t="s">
        <v>15</v>
      </c>
    </row>
    <row r="49" spans="1:1">
      <c r="A49" s="2">
        <v>1</v>
      </c>
    </row>
    <row r="53" spans="1:1">
      <c r="A53" t="s">
        <v>18</v>
      </c>
    </row>
    <row r="54" spans="1:1">
      <c r="A54" t="s">
        <v>17</v>
      </c>
    </row>
    <row r="55" spans="1:1">
      <c r="A55" s="2">
        <v>1</v>
      </c>
    </row>
    <row r="58" spans="1:1">
      <c r="A58" t="s">
        <v>30</v>
      </c>
    </row>
    <row r="59" spans="1:1">
      <c r="A59" t="s">
        <v>6</v>
      </c>
    </row>
    <row r="60" spans="1:1">
      <c r="A60" s="2">
        <v>738</v>
      </c>
    </row>
    <row r="64" spans="1:1" ht="22.8" customHeight="1">
      <c r="A64" t="s">
        <v>40</v>
      </c>
    </row>
    <row r="65" spans="1:7">
      <c r="A65" t="s">
        <v>8</v>
      </c>
      <c r="C65" s="6" t="s">
        <v>32</v>
      </c>
      <c r="D65" s="7"/>
      <c r="F65" s="7" t="s">
        <v>37</v>
      </c>
      <c r="G65" s="7"/>
    </row>
    <row r="66" spans="1:7">
      <c r="A66" s="2">
        <v>58</v>
      </c>
      <c r="C66" s="5" t="s">
        <v>2</v>
      </c>
      <c r="D66" s="13">
        <v>738</v>
      </c>
      <c r="E66" s="4"/>
      <c r="F66" s="5" t="s">
        <v>34</v>
      </c>
      <c r="G66" s="12">
        <v>1</v>
      </c>
    </row>
    <row r="67" spans="1:7">
      <c r="C67" s="5" t="s">
        <v>5</v>
      </c>
      <c r="D67" s="8">
        <v>738</v>
      </c>
      <c r="E67" s="4"/>
      <c r="F67" s="5" t="s">
        <v>35</v>
      </c>
      <c r="G67" s="8">
        <v>58</v>
      </c>
    </row>
    <row r="68" spans="1:7">
      <c r="C68" s="5" t="s">
        <v>33</v>
      </c>
      <c r="D68" s="13">
        <v>738</v>
      </c>
      <c r="E68" s="4"/>
      <c r="F68" s="5" t="s">
        <v>36</v>
      </c>
      <c r="G68" s="8">
        <v>4</v>
      </c>
    </row>
  </sheetData>
  <mergeCells count="1">
    <mergeCell ref="G21:I21"/>
  </mergeCells>
  <pageMargins left="0.7" right="0.7" top="0.75" bottom="0.75" header="0.3" footer="0.3"/>
  <pageSetup orientation="portrait" r:id="rId25"/>
  <drawing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CB51B-C5BE-4E12-B0A8-52FB8A478D87}">
  <dimension ref="A1:AA69"/>
  <sheetViews>
    <sheetView showGridLines="0" tabSelected="1" zoomScale="96" zoomScaleNormal="100" workbookViewId="0">
      <selection activeCell="V16" sqref="V16"/>
    </sheetView>
  </sheetViews>
  <sheetFormatPr defaultRowHeight="14.4"/>
  <cols>
    <col min="1" max="1" width="18.88671875" bestFit="1" customWidth="1"/>
    <col min="2" max="2" width="7" bestFit="1" customWidth="1"/>
    <col min="3" max="3" width="21.44140625" bestFit="1" customWidth="1"/>
  </cols>
  <sheetData>
    <row r="1" spans="1:26">
      <c r="A1" s="9"/>
      <c r="B1" s="9"/>
      <c r="C1" s="9"/>
      <c r="D1" s="9"/>
      <c r="E1" s="9"/>
      <c r="F1" s="9"/>
      <c r="G1" s="9"/>
      <c r="H1" s="9"/>
      <c r="I1" s="9"/>
      <c r="J1" s="9"/>
      <c r="K1" s="9"/>
      <c r="L1" s="9"/>
      <c r="M1" s="9"/>
      <c r="N1" s="9"/>
      <c r="O1" s="9"/>
      <c r="P1" s="9"/>
      <c r="Q1" s="9"/>
      <c r="R1" s="9"/>
      <c r="S1" s="9"/>
      <c r="T1" s="9"/>
      <c r="U1" s="9"/>
      <c r="V1" s="9"/>
      <c r="W1" s="9"/>
      <c r="X1" s="9"/>
      <c r="Y1" s="9"/>
      <c r="Z1" s="9"/>
    </row>
    <row r="2" spans="1:26">
      <c r="A2" s="9"/>
      <c r="B2" s="9"/>
      <c r="C2" s="9"/>
      <c r="D2" s="9"/>
      <c r="E2" s="9"/>
      <c r="F2" s="9"/>
      <c r="G2" s="9"/>
      <c r="H2" s="9"/>
      <c r="I2" s="9"/>
      <c r="J2" s="9"/>
      <c r="K2" s="9"/>
      <c r="L2" s="9"/>
      <c r="M2" s="9"/>
      <c r="N2" s="9"/>
      <c r="O2" s="9"/>
      <c r="P2" s="9"/>
      <c r="Q2" s="9"/>
      <c r="R2" s="9"/>
      <c r="S2" s="9"/>
      <c r="T2" s="9"/>
      <c r="U2" s="9"/>
      <c r="V2" s="9"/>
      <c r="W2" s="9"/>
      <c r="X2" s="9"/>
      <c r="Y2" s="9"/>
      <c r="Z2" s="9"/>
    </row>
    <row r="3" spans="1:26">
      <c r="A3" s="9"/>
      <c r="B3" s="9"/>
      <c r="C3" s="9"/>
      <c r="D3" s="9"/>
      <c r="E3" s="9"/>
      <c r="F3" s="9"/>
      <c r="G3" s="9"/>
      <c r="H3" s="9"/>
      <c r="I3" s="9"/>
      <c r="J3" s="9"/>
      <c r="K3" s="9"/>
      <c r="L3" s="9"/>
      <c r="M3" s="9"/>
      <c r="N3" s="9"/>
      <c r="O3" s="9"/>
      <c r="P3" s="9"/>
      <c r="Q3" s="9"/>
      <c r="R3" s="9"/>
      <c r="S3" s="9"/>
      <c r="T3" s="9"/>
      <c r="U3" s="9"/>
      <c r="V3" s="9"/>
      <c r="W3" s="9"/>
      <c r="X3" s="9"/>
      <c r="Y3" s="9"/>
      <c r="Z3" s="9"/>
    </row>
    <row r="4" spans="1:26">
      <c r="A4" s="9"/>
      <c r="B4" s="9"/>
      <c r="C4" s="9"/>
      <c r="D4" s="9"/>
      <c r="E4" s="9"/>
      <c r="F4" s="9"/>
      <c r="G4" s="9"/>
      <c r="H4" s="9"/>
      <c r="I4" s="9"/>
      <c r="J4" s="9"/>
      <c r="K4" s="9"/>
      <c r="L4" s="9"/>
      <c r="M4" s="9"/>
      <c r="N4" s="9"/>
      <c r="O4" s="9"/>
      <c r="P4" s="9"/>
      <c r="Q4" s="9"/>
      <c r="R4" s="9"/>
      <c r="S4" s="9"/>
      <c r="T4" s="9"/>
      <c r="U4" s="9"/>
      <c r="V4" s="9"/>
      <c r="W4" s="9"/>
      <c r="X4" s="9"/>
      <c r="Y4" s="9"/>
      <c r="Z4" s="9"/>
    </row>
    <row r="5" spans="1:26">
      <c r="A5" s="9"/>
      <c r="B5" s="9"/>
      <c r="C5" s="9"/>
      <c r="D5" s="9"/>
      <c r="E5" s="9"/>
      <c r="F5" s="9"/>
      <c r="G5" s="9"/>
      <c r="H5" s="9"/>
      <c r="I5" s="9"/>
      <c r="J5" s="9"/>
      <c r="K5" s="9"/>
      <c r="L5" s="9"/>
      <c r="M5" s="9"/>
      <c r="N5" s="9"/>
      <c r="O5" s="9"/>
      <c r="P5" s="9"/>
      <c r="Q5" s="9"/>
      <c r="R5" s="9"/>
      <c r="S5" s="9"/>
      <c r="T5" s="9"/>
      <c r="U5" s="9"/>
      <c r="V5" s="9"/>
      <c r="W5" s="9"/>
      <c r="X5" s="9"/>
      <c r="Y5" s="9"/>
      <c r="Z5" s="9"/>
    </row>
    <row r="6" spans="1:26">
      <c r="A6" s="9"/>
      <c r="B6" s="9"/>
      <c r="C6" s="9"/>
      <c r="D6" s="9"/>
      <c r="E6" s="9"/>
      <c r="F6" s="9"/>
      <c r="G6" s="9"/>
      <c r="H6" s="9"/>
      <c r="I6" s="9"/>
      <c r="J6" s="9"/>
      <c r="K6" s="9"/>
      <c r="L6" s="9"/>
      <c r="M6" s="9"/>
      <c r="N6" s="9"/>
      <c r="O6" s="9"/>
      <c r="P6" s="9"/>
      <c r="Q6" s="9"/>
      <c r="R6" s="9"/>
      <c r="S6" s="9"/>
      <c r="T6" s="9"/>
      <c r="U6" s="9"/>
      <c r="V6" s="9"/>
      <c r="W6" s="9"/>
      <c r="X6" s="9"/>
      <c r="Y6" s="9"/>
      <c r="Z6" s="9"/>
    </row>
    <row r="7" spans="1:26">
      <c r="A7" s="9"/>
      <c r="B7" s="9"/>
      <c r="C7" s="9"/>
      <c r="D7" s="9"/>
      <c r="E7" s="9"/>
      <c r="F7" s="9"/>
      <c r="G7" s="9"/>
      <c r="H7" s="9"/>
      <c r="I7" s="9"/>
      <c r="J7" s="9"/>
      <c r="K7" s="9"/>
      <c r="L7" s="9"/>
      <c r="M7" s="9"/>
      <c r="N7" s="9"/>
      <c r="O7" s="9"/>
      <c r="P7" s="9"/>
      <c r="Q7" s="9"/>
      <c r="R7" s="9"/>
      <c r="S7" s="9"/>
      <c r="T7" s="9"/>
      <c r="U7" s="9"/>
      <c r="V7" s="9"/>
      <c r="W7" s="9"/>
      <c r="X7" s="9"/>
      <c r="Y7" s="9"/>
      <c r="Z7" s="9"/>
    </row>
    <row r="8" spans="1:26">
      <c r="A8" s="9"/>
      <c r="B8" s="9"/>
      <c r="C8" s="9"/>
      <c r="D8" s="9"/>
      <c r="E8" s="9"/>
      <c r="F8" s="9"/>
      <c r="G8" s="9"/>
      <c r="H8" s="9"/>
      <c r="I8" s="9"/>
      <c r="J8" s="9"/>
      <c r="K8" s="9"/>
      <c r="L8" s="9"/>
      <c r="M8" s="9"/>
      <c r="N8" s="9"/>
      <c r="O8" s="9"/>
      <c r="P8" s="9"/>
      <c r="Q8" s="9"/>
      <c r="R8" s="9"/>
      <c r="S8" s="9"/>
      <c r="T8" s="9"/>
      <c r="U8" s="9"/>
      <c r="V8" s="9"/>
      <c r="W8" s="9"/>
      <c r="X8" s="9"/>
      <c r="Y8" s="9"/>
      <c r="Z8" s="9"/>
    </row>
    <row r="9" spans="1:26">
      <c r="A9" s="9"/>
      <c r="B9" s="9"/>
      <c r="C9" s="9"/>
      <c r="D9" s="9"/>
      <c r="E9" s="9"/>
      <c r="F9" s="9"/>
      <c r="G9" s="9"/>
      <c r="H9" s="9"/>
      <c r="I9" s="9"/>
      <c r="J9" s="9"/>
      <c r="K9" s="9"/>
      <c r="L9" s="9"/>
      <c r="M9" s="9"/>
      <c r="N9" s="9"/>
      <c r="O9" s="9"/>
      <c r="P9" s="9"/>
      <c r="Q9" s="9"/>
      <c r="R9" s="9"/>
      <c r="S9" s="9"/>
      <c r="T9" s="9"/>
      <c r="U9" s="9"/>
      <c r="V9" s="9"/>
      <c r="W9" s="9"/>
      <c r="X9" s="9"/>
      <c r="Y9" s="9"/>
      <c r="Z9" s="9"/>
    </row>
    <row r="10" spans="1:26">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c r="A16" s="9"/>
      <c r="B16" s="9"/>
      <c r="C16" s="9"/>
      <c r="D16" s="9"/>
      <c r="E16" s="9"/>
      <c r="F16" s="9"/>
      <c r="G16" s="9"/>
      <c r="H16" s="9"/>
      <c r="I16" s="9"/>
      <c r="J16" s="9"/>
      <c r="K16" s="9"/>
      <c r="L16" s="9"/>
      <c r="M16" s="9"/>
      <c r="N16" s="9"/>
      <c r="O16" s="9"/>
      <c r="P16" s="9"/>
      <c r="Q16" s="9"/>
      <c r="R16" s="9"/>
      <c r="S16" s="9"/>
      <c r="T16" s="9"/>
      <c r="U16" s="9"/>
      <c r="V16" s="9" t="s">
        <v>44</v>
      </c>
      <c r="W16" s="9"/>
      <c r="X16" s="9"/>
      <c r="Y16" s="9"/>
      <c r="Z16" s="9"/>
    </row>
    <row r="17" spans="1:26">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c r="A20" s="9"/>
      <c r="B20" s="9"/>
      <c r="C20" s="9"/>
      <c r="D20" s="9"/>
      <c r="E20" s="9"/>
      <c r="F20" s="9"/>
      <c r="G20" s="9"/>
      <c r="H20" s="9"/>
      <c r="I20" s="9"/>
      <c r="J20" s="9"/>
      <c r="K20" s="9"/>
      <c r="L20" s="9"/>
      <c r="M20" s="9"/>
      <c r="N20" s="9"/>
      <c r="O20" s="9"/>
      <c r="P20" s="9"/>
      <c r="Q20" s="9"/>
      <c r="R20" s="9"/>
      <c r="S20" s="9"/>
      <c r="T20" s="9"/>
      <c r="U20" s="9"/>
      <c r="V20" s="9"/>
      <c r="W20" s="9"/>
      <c r="X20" s="9"/>
      <c r="Y20" s="9"/>
    </row>
    <row r="21" spans="1:26">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3.8"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7">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7">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7">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7">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7">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7">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7">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7">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7">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7">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7">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7">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7">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7">
      <c r="D46" s="4"/>
      <c r="E46" s="4"/>
      <c r="F46" s="4"/>
      <c r="G46" s="4"/>
      <c r="H46" s="4"/>
      <c r="I46" s="4"/>
      <c r="J46" s="4"/>
      <c r="K46" s="4"/>
      <c r="L46" s="4"/>
      <c r="M46" s="4"/>
      <c r="N46" s="4"/>
      <c r="O46" s="4"/>
      <c r="P46" s="4"/>
      <c r="Q46" s="4"/>
      <c r="R46" s="4"/>
      <c r="S46" s="4"/>
      <c r="T46" s="4"/>
      <c r="U46" s="4"/>
      <c r="V46" s="4"/>
      <c r="W46" s="4"/>
      <c r="X46" s="4"/>
      <c r="Y46" s="4"/>
      <c r="Z46" s="4"/>
    </row>
    <row r="47" spans="1:27">
      <c r="D47" s="4"/>
      <c r="E47" s="4"/>
      <c r="H47" s="4"/>
      <c r="I47" s="4"/>
      <c r="J47" s="4"/>
      <c r="K47" s="4"/>
      <c r="L47" s="4"/>
      <c r="M47" s="4"/>
      <c r="N47" s="4"/>
      <c r="O47" s="4"/>
      <c r="P47" s="4"/>
      <c r="Q47" s="4"/>
      <c r="R47" s="4"/>
      <c r="S47" s="4"/>
      <c r="T47" s="4"/>
      <c r="U47" s="4"/>
      <c r="V47" s="4"/>
      <c r="W47" s="4"/>
      <c r="X47" s="4"/>
      <c r="Y47" s="4"/>
      <c r="Z47" s="4"/>
      <c r="AA47" s="4"/>
    </row>
    <row r="48" spans="1:27">
      <c r="D48" s="4"/>
      <c r="E48" s="4"/>
      <c r="H48" s="4"/>
      <c r="I48" s="4"/>
      <c r="J48" s="4"/>
      <c r="K48" s="4"/>
      <c r="L48" s="4"/>
      <c r="M48" s="4"/>
      <c r="N48" s="4"/>
      <c r="O48" s="4"/>
      <c r="P48" s="4"/>
      <c r="Q48" s="4"/>
      <c r="R48" s="4"/>
      <c r="S48" s="4"/>
      <c r="T48" s="4"/>
      <c r="U48" s="4"/>
      <c r="V48" s="4"/>
      <c r="W48" s="4"/>
      <c r="X48" s="4"/>
      <c r="Y48" s="4"/>
      <c r="Z48" s="4"/>
      <c r="AA48" s="4"/>
    </row>
    <row r="49" spans="1:27">
      <c r="D49" s="4"/>
      <c r="E49" s="4"/>
      <c r="H49" s="4"/>
      <c r="I49" s="4"/>
      <c r="J49" s="4"/>
      <c r="K49" s="4"/>
      <c r="L49" s="4"/>
      <c r="M49" s="4"/>
      <c r="N49" s="4"/>
      <c r="O49" s="4"/>
      <c r="P49" s="4"/>
      <c r="Q49" s="4"/>
      <c r="R49" s="4"/>
      <c r="S49" s="4"/>
      <c r="T49" s="4"/>
      <c r="U49" s="4"/>
      <c r="V49" s="4"/>
      <c r="W49" s="4"/>
      <c r="X49" s="4"/>
      <c r="Y49" s="4"/>
      <c r="Z49" s="4"/>
      <c r="AA49" s="4"/>
    </row>
    <row r="50" spans="1:27">
      <c r="D50" s="4"/>
      <c r="E50" s="4"/>
      <c r="H50" s="4"/>
      <c r="I50" s="4"/>
      <c r="J50" s="4"/>
      <c r="K50" s="4"/>
      <c r="L50" s="4"/>
      <c r="M50" s="4"/>
      <c r="N50" s="4"/>
      <c r="O50" s="4"/>
      <c r="P50" s="4"/>
      <c r="Q50" s="4"/>
      <c r="R50" s="4"/>
      <c r="S50" s="4"/>
      <c r="T50" s="4"/>
      <c r="U50" s="4"/>
      <c r="V50" s="4"/>
      <c r="W50" s="4"/>
      <c r="X50" s="4"/>
      <c r="Y50" s="4"/>
      <c r="Z50" s="4"/>
      <c r="AA50" s="4"/>
    </row>
    <row r="51" spans="1:27">
      <c r="G51" s="4"/>
      <c r="H51" s="4"/>
      <c r="I51" s="4"/>
      <c r="J51" s="4"/>
      <c r="K51" s="4"/>
      <c r="L51" s="4"/>
      <c r="M51" s="4"/>
      <c r="N51" s="4"/>
      <c r="O51" s="4"/>
      <c r="P51" s="4"/>
      <c r="Q51" s="4"/>
      <c r="R51" s="4"/>
      <c r="S51" s="4"/>
      <c r="T51" s="4"/>
      <c r="U51" s="4"/>
      <c r="V51" s="4"/>
      <c r="W51" s="4"/>
      <c r="X51" s="4"/>
      <c r="Y51" s="4"/>
      <c r="Z51" s="4"/>
      <c r="AA51" s="4"/>
    </row>
    <row r="52" spans="1:27">
      <c r="F52" s="4"/>
      <c r="G52" s="4"/>
      <c r="H52" s="4"/>
      <c r="I52" s="4"/>
      <c r="J52" s="4"/>
      <c r="K52" s="4"/>
      <c r="L52" s="4"/>
      <c r="M52" s="4"/>
      <c r="N52" s="4"/>
      <c r="O52" s="4"/>
      <c r="P52" s="4"/>
      <c r="R52" s="4"/>
      <c r="S52" s="4"/>
      <c r="T52" s="4"/>
      <c r="U52" s="4"/>
      <c r="V52" s="4"/>
      <c r="W52" s="4"/>
      <c r="X52" s="4"/>
      <c r="Y52" s="4"/>
      <c r="Z52" s="4"/>
      <c r="AA52" s="4"/>
    </row>
    <row r="53" spans="1:27">
      <c r="F53" s="4"/>
      <c r="G53" s="4"/>
      <c r="H53" s="4"/>
      <c r="I53" s="4"/>
      <c r="J53" s="4"/>
      <c r="K53" s="4"/>
      <c r="L53" s="4"/>
      <c r="M53" s="4"/>
      <c r="N53" s="4"/>
      <c r="O53" s="4"/>
      <c r="P53" s="4"/>
      <c r="Q53" s="4"/>
      <c r="R53" s="4"/>
      <c r="S53" s="4"/>
      <c r="T53" s="4"/>
      <c r="U53" s="4"/>
      <c r="V53" s="4"/>
      <c r="W53" s="4"/>
      <c r="X53" s="4"/>
      <c r="Y53" s="4"/>
      <c r="Z53" s="4"/>
      <c r="AA53" s="4"/>
    </row>
    <row r="54" spans="1:27">
      <c r="F54" s="4"/>
      <c r="G54" s="4"/>
      <c r="H54" s="4"/>
      <c r="I54" s="4"/>
      <c r="J54" s="4"/>
      <c r="K54" s="4"/>
      <c r="L54" s="4"/>
      <c r="M54" s="4"/>
      <c r="N54" s="4"/>
      <c r="P54" s="4"/>
      <c r="Q54" s="4"/>
      <c r="R54" s="4"/>
      <c r="S54" s="4"/>
      <c r="T54" s="4"/>
      <c r="U54" s="4"/>
      <c r="V54" s="4"/>
      <c r="W54" s="4"/>
      <c r="X54" s="4"/>
      <c r="Y54" s="4"/>
      <c r="Z54" s="4"/>
      <c r="AA54" s="4"/>
    </row>
    <row r="55" spans="1:27">
      <c r="D55" s="4"/>
      <c r="E55" s="4"/>
      <c r="F55" s="4"/>
      <c r="G55" s="4"/>
      <c r="H55" s="4"/>
      <c r="J55" s="4"/>
      <c r="K55" s="4"/>
      <c r="L55" s="4"/>
      <c r="M55" s="4"/>
      <c r="N55" s="4"/>
      <c r="O55" s="4"/>
      <c r="P55" s="4"/>
      <c r="Q55" s="4"/>
      <c r="R55" s="4"/>
      <c r="S55" s="4"/>
      <c r="T55" s="4"/>
      <c r="U55" s="4"/>
      <c r="V55" s="4"/>
      <c r="W55" s="4"/>
      <c r="X55" s="4"/>
      <c r="Y55" s="4"/>
      <c r="Z55" s="4"/>
      <c r="AA55" s="4"/>
    </row>
    <row r="56" spans="1:27">
      <c r="D56" s="4"/>
      <c r="E56" s="4"/>
      <c r="F56" s="4"/>
      <c r="G56" s="4"/>
      <c r="H56" s="4"/>
      <c r="I56" s="4"/>
      <c r="J56" s="4"/>
      <c r="K56" s="4"/>
      <c r="L56" s="4"/>
      <c r="M56" s="4"/>
      <c r="N56" s="4"/>
      <c r="O56" s="4"/>
      <c r="P56" s="4"/>
      <c r="Q56" s="4"/>
      <c r="R56" s="4"/>
      <c r="S56" s="4"/>
      <c r="T56" s="4"/>
      <c r="U56" s="4"/>
      <c r="V56" s="4"/>
      <c r="W56" s="4"/>
      <c r="X56" s="4"/>
      <c r="Y56" s="4"/>
      <c r="Z56" s="4"/>
      <c r="AA56" s="4"/>
    </row>
    <row r="57" spans="1:27">
      <c r="D57" s="4"/>
      <c r="E57" s="4"/>
      <c r="F57" s="4"/>
      <c r="G57" s="4"/>
      <c r="H57" s="4"/>
      <c r="I57" s="4"/>
      <c r="J57" s="4"/>
      <c r="K57" s="4"/>
      <c r="M57" s="4"/>
      <c r="N57" s="4"/>
      <c r="O57" s="4"/>
      <c r="P57" s="4"/>
      <c r="Q57" s="4"/>
      <c r="R57" s="4"/>
      <c r="S57" s="4"/>
      <c r="T57" s="4"/>
      <c r="U57" s="4"/>
      <c r="V57" s="4"/>
      <c r="W57" s="4"/>
      <c r="X57" s="4"/>
      <c r="Y57" s="4"/>
      <c r="Z57" s="4"/>
      <c r="AA57" s="4"/>
    </row>
    <row r="58" spans="1:27">
      <c r="D58" s="4"/>
      <c r="E58" s="4"/>
      <c r="F58" s="4"/>
      <c r="G58" s="4"/>
      <c r="H58" s="4"/>
      <c r="I58" s="4"/>
      <c r="J58" s="4"/>
      <c r="K58" s="4"/>
      <c r="L58" s="4"/>
      <c r="M58" s="4"/>
      <c r="N58" s="4"/>
      <c r="O58" s="4"/>
      <c r="P58" s="4"/>
      <c r="Q58" s="4"/>
      <c r="R58" s="4"/>
      <c r="S58" s="4"/>
      <c r="T58" s="4"/>
      <c r="U58" s="4"/>
      <c r="V58" s="4"/>
      <c r="W58" s="4"/>
      <c r="X58" s="4"/>
      <c r="Y58" s="4"/>
      <c r="Z58" s="4"/>
      <c r="AA58" s="4"/>
    </row>
    <row r="59" spans="1:27">
      <c r="D59" s="4"/>
      <c r="E59" s="4"/>
      <c r="F59" s="4"/>
      <c r="G59" s="4"/>
      <c r="H59" s="4"/>
      <c r="I59" s="4"/>
      <c r="J59" s="4"/>
      <c r="K59" s="4"/>
      <c r="L59" s="4"/>
      <c r="M59" s="4"/>
      <c r="N59" s="4"/>
      <c r="O59" s="4"/>
      <c r="P59" s="4"/>
      <c r="Q59" s="4"/>
      <c r="R59" s="4"/>
      <c r="S59" s="4"/>
      <c r="T59" s="4"/>
      <c r="U59" s="4"/>
      <c r="V59" s="4"/>
      <c r="W59" s="4"/>
      <c r="X59" s="4"/>
      <c r="Y59" s="4"/>
      <c r="Z59" s="4"/>
      <c r="AA59" s="4"/>
    </row>
    <row r="60" spans="1:27">
      <c r="D60" s="4"/>
      <c r="E60" s="4"/>
      <c r="F60" s="4"/>
      <c r="G60" s="4"/>
      <c r="H60" s="4"/>
      <c r="I60" s="4"/>
      <c r="J60" s="4"/>
      <c r="K60" s="4"/>
      <c r="L60" s="4"/>
      <c r="M60" s="4"/>
      <c r="N60" s="4"/>
      <c r="O60" s="4"/>
      <c r="P60" s="4"/>
      <c r="Q60" s="4"/>
      <c r="R60" s="4"/>
      <c r="S60" s="4"/>
      <c r="T60" s="4"/>
      <c r="U60" s="4"/>
      <c r="V60" s="4"/>
      <c r="W60" s="4"/>
      <c r="X60" s="4"/>
      <c r="Y60" s="4"/>
      <c r="Z60" s="4"/>
      <c r="AA60" s="4"/>
    </row>
    <row r="61" spans="1:27">
      <c r="D61" s="4"/>
      <c r="E61" s="4"/>
      <c r="F61" s="4"/>
      <c r="G61" s="4"/>
      <c r="H61" s="4"/>
      <c r="I61" s="4"/>
      <c r="J61" s="4"/>
      <c r="K61" s="4"/>
      <c r="L61" s="4"/>
      <c r="M61" s="4"/>
      <c r="N61" s="4"/>
      <c r="O61" s="4"/>
      <c r="P61" s="4"/>
      <c r="Q61" s="4"/>
      <c r="R61" s="4"/>
      <c r="S61" s="4"/>
      <c r="T61" s="4"/>
      <c r="U61" s="4"/>
      <c r="V61" s="4"/>
      <c r="W61" s="4"/>
      <c r="X61" s="4"/>
      <c r="Y61" s="4"/>
      <c r="Z61" s="4"/>
      <c r="AA61" s="4"/>
    </row>
    <row r="62" spans="1:27">
      <c r="D62" s="4"/>
      <c r="E62" s="4"/>
      <c r="F62" s="4"/>
      <c r="G62" s="4"/>
      <c r="H62" s="4"/>
      <c r="I62" s="4"/>
      <c r="J62" s="4"/>
      <c r="K62" s="4"/>
      <c r="L62" s="4"/>
      <c r="M62" s="4"/>
      <c r="N62" s="4"/>
      <c r="O62" s="4"/>
      <c r="P62" s="4"/>
      <c r="Q62" s="4"/>
      <c r="R62" s="4"/>
      <c r="S62" s="4"/>
      <c r="T62" s="4"/>
      <c r="U62" s="4"/>
      <c r="V62" s="4"/>
      <c r="W62" s="4"/>
      <c r="X62" s="4"/>
      <c r="Y62" s="4"/>
      <c r="Z62" s="4"/>
      <c r="AA62" s="4"/>
    </row>
    <row r="63" spans="1:27">
      <c r="D63" s="4"/>
      <c r="F63" s="4"/>
      <c r="H63" s="4"/>
      <c r="I63" s="4"/>
      <c r="J63" s="4"/>
      <c r="K63" s="4"/>
      <c r="L63" s="4"/>
      <c r="M63" s="4"/>
      <c r="N63" s="4"/>
      <c r="O63" s="4"/>
      <c r="P63" s="4"/>
      <c r="Q63" s="4"/>
      <c r="R63" s="4"/>
      <c r="S63" s="4"/>
      <c r="T63" s="4"/>
      <c r="U63" s="4"/>
      <c r="V63" s="4"/>
      <c r="W63" s="4"/>
      <c r="X63" s="4"/>
      <c r="Y63" s="4"/>
      <c r="Z63" s="4"/>
      <c r="AA63" s="4"/>
    </row>
    <row r="64" spans="1:27">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c r="X69" s="4"/>
      <c r="Y69" s="4"/>
      <c r="Z69" s="4"/>
      <c r="AA69"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B1D5A-4C36-42C2-8FE3-1FF1350745CC}">
  <dimension ref="A1:R32"/>
  <sheetViews>
    <sheetView workbookViewId="0">
      <selection activeCell="A6" sqref="A6"/>
    </sheetView>
  </sheetViews>
  <sheetFormatPr defaultRowHeight="14.4"/>
  <sheetData>
    <row r="1" spans="1:18">
      <c r="A1" s="3"/>
      <c r="B1" s="3"/>
      <c r="C1" s="3"/>
      <c r="D1" s="3"/>
      <c r="E1" s="3"/>
      <c r="F1" s="3"/>
      <c r="G1" s="3"/>
      <c r="H1" s="3"/>
      <c r="I1" s="3"/>
      <c r="J1" s="3"/>
      <c r="K1" s="3"/>
      <c r="L1" s="3"/>
      <c r="M1" s="3"/>
      <c r="N1" s="3"/>
      <c r="O1" s="3"/>
      <c r="P1" s="3"/>
      <c r="Q1" s="3"/>
      <c r="R1" s="3"/>
    </row>
    <row r="2" spans="1:18">
      <c r="A2" s="3"/>
      <c r="B2" s="3"/>
      <c r="C2" s="3"/>
      <c r="D2" s="3"/>
      <c r="E2" s="3"/>
      <c r="F2" s="3"/>
      <c r="G2" s="3"/>
      <c r="H2" s="3"/>
      <c r="I2" s="3"/>
      <c r="J2" s="3"/>
      <c r="K2" s="3"/>
      <c r="L2" s="3"/>
      <c r="M2" s="3"/>
      <c r="N2" s="3"/>
      <c r="O2" s="3"/>
      <c r="P2" s="3"/>
      <c r="Q2" s="3"/>
      <c r="R2" s="3"/>
    </row>
    <row r="3" spans="1:18">
      <c r="A3" s="3"/>
      <c r="B3" s="3"/>
      <c r="C3" s="3"/>
      <c r="D3" s="3"/>
      <c r="E3" s="3"/>
      <c r="F3" s="3"/>
      <c r="G3" s="3"/>
      <c r="H3" s="3"/>
      <c r="I3" s="3"/>
      <c r="J3" s="3"/>
      <c r="K3" s="3"/>
      <c r="L3" s="3"/>
      <c r="M3" s="3"/>
      <c r="N3" s="3"/>
      <c r="O3" s="3"/>
      <c r="P3" s="3"/>
      <c r="Q3" s="3"/>
      <c r="R3" s="3"/>
    </row>
    <row r="4" spans="1:18">
      <c r="A4" s="3"/>
      <c r="B4" s="3"/>
      <c r="C4" s="3"/>
      <c r="D4" s="3"/>
      <c r="E4" s="3"/>
      <c r="F4" s="3"/>
      <c r="G4" s="3"/>
      <c r="H4" s="3"/>
      <c r="I4" s="3"/>
      <c r="J4" s="3"/>
      <c r="K4" s="3"/>
      <c r="L4" s="3"/>
      <c r="M4" s="3"/>
      <c r="N4" s="3"/>
      <c r="O4" s="3"/>
      <c r="P4" s="3"/>
      <c r="Q4" s="3"/>
      <c r="R4" s="3"/>
    </row>
    <row r="5" spans="1:18">
      <c r="A5" s="3"/>
      <c r="B5" s="3"/>
      <c r="C5" s="3"/>
      <c r="D5" s="3"/>
      <c r="E5" s="3"/>
      <c r="F5" s="3"/>
      <c r="G5" s="3"/>
      <c r="H5" s="3"/>
      <c r="I5" s="3"/>
      <c r="J5" s="3"/>
      <c r="K5" s="3"/>
      <c r="L5" s="3"/>
      <c r="M5" s="3"/>
      <c r="N5" s="3"/>
      <c r="O5" s="3"/>
      <c r="P5" s="3"/>
      <c r="Q5" s="3"/>
      <c r="R5" s="3"/>
    </row>
    <row r="6" spans="1:18">
      <c r="A6" s="3"/>
      <c r="B6" s="3"/>
      <c r="C6" s="3"/>
      <c r="D6" s="3"/>
      <c r="E6" s="3"/>
      <c r="F6" s="3"/>
      <c r="G6" s="3"/>
      <c r="H6" s="3"/>
      <c r="I6" s="3"/>
      <c r="J6" s="3"/>
      <c r="K6" s="3"/>
      <c r="L6" s="3"/>
      <c r="M6" s="3"/>
      <c r="N6" s="3"/>
      <c r="O6" s="3"/>
      <c r="P6" s="3"/>
      <c r="Q6" s="3"/>
      <c r="R6" s="3"/>
    </row>
    <row r="7" spans="1:18">
      <c r="A7" s="3"/>
      <c r="B7" s="3"/>
      <c r="C7" s="3"/>
      <c r="D7" s="3"/>
      <c r="E7" s="3"/>
      <c r="F7" s="3"/>
      <c r="G7" s="3"/>
      <c r="H7" s="3"/>
      <c r="I7" s="3"/>
      <c r="J7" s="3"/>
      <c r="K7" s="3"/>
      <c r="L7" s="3"/>
      <c r="M7" s="3"/>
      <c r="N7" s="3"/>
      <c r="O7" s="3"/>
      <c r="P7" s="3"/>
      <c r="Q7" s="3"/>
      <c r="R7" s="3"/>
    </row>
    <row r="8" spans="1:18">
      <c r="A8" s="3"/>
      <c r="B8" s="3"/>
      <c r="C8" s="3"/>
      <c r="D8" s="3"/>
      <c r="E8" s="3"/>
      <c r="F8" s="3"/>
      <c r="G8" s="3"/>
      <c r="H8" s="3"/>
      <c r="I8" s="3"/>
      <c r="J8" s="3"/>
      <c r="K8" s="3"/>
      <c r="L8" s="3"/>
      <c r="M8" s="3"/>
      <c r="N8" s="3"/>
      <c r="O8" s="3"/>
      <c r="P8" s="3"/>
      <c r="Q8" s="3"/>
      <c r="R8" s="3"/>
    </row>
    <row r="9" spans="1:18">
      <c r="A9" s="3"/>
      <c r="B9" s="3"/>
      <c r="C9" s="3"/>
      <c r="D9" s="3"/>
      <c r="E9" s="3"/>
      <c r="F9" s="3"/>
      <c r="G9" s="3"/>
      <c r="H9" s="3"/>
      <c r="I9" s="3"/>
      <c r="J9" s="3"/>
      <c r="K9" s="3"/>
      <c r="L9" s="3"/>
      <c r="M9" s="3"/>
      <c r="N9" s="3"/>
      <c r="O9" s="3"/>
      <c r="P9" s="3"/>
      <c r="Q9" s="3"/>
      <c r="R9" s="3"/>
    </row>
    <row r="10" spans="1:18">
      <c r="A10" s="3"/>
      <c r="B10" s="3"/>
      <c r="C10" s="3"/>
      <c r="D10" s="3"/>
      <c r="E10" s="3"/>
      <c r="F10" s="3"/>
      <c r="G10" s="3"/>
      <c r="H10" s="3"/>
      <c r="I10" s="3"/>
      <c r="J10" s="3"/>
      <c r="K10" s="3"/>
      <c r="L10" s="3"/>
      <c r="M10" s="3"/>
      <c r="N10" s="3"/>
      <c r="O10" s="3"/>
      <c r="P10" s="3"/>
      <c r="Q10" s="3"/>
      <c r="R10" s="3"/>
    </row>
    <row r="11" spans="1:18">
      <c r="A11" s="3"/>
      <c r="B11" s="3"/>
      <c r="C11" s="3"/>
      <c r="D11" s="3"/>
      <c r="E11" s="3"/>
      <c r="F11" s="3"/>
      <c r="G11" s="3"/>
      <c r="H11" s="3"/>
      <c r="I11" s="3"/>
      <c r="J11" s="3"/>
      <c r="K11" s="3"/>
      <c r="L11" s="3"/>
      <c r="M11" s="3"/>
      <c r="N11" s="3"/>
      <c r="O11" s="3"/>
      <c r="P11" s="3"/>
      <c r="Q11" s="3"/>
      <c r="R11" s="3"/>
    </row>
    <row r="12" spans="1:18">
      <c r="A12" s="3"/>
      <c r="B12" s="3"/>
      <c r="C12" s="3"/>
      <c r="D12" s="3"/>
      <c r="E12" s="3"/>
      <c r="F12" s="3"/>
      <c r="G12" s="3"/>
      <c r="H12" s="3"/>
      <c r="I12" s="3"/>
      <c r="J12" s="3"/>
      <c r="K12" s="3"/>
      <c r="L12" s="3"/>
      <c r="M12" s="3"/>
      <c r="N12" s="3"/>
      <c r="O12" s="3"/>
      <c r="P12" s="3"/>
      <c r="Q12" s="3"/>
      <c r="R12" s="3"/>
    </row>
    <row r="13" spans="1:18">
      <c r="A13" s="3"/>
      <c r="B13" s="3"/>
      <c r="C13" s="3"/>
      <c r="D13" s="3"/>
      <c r="E13" s="3"/>
      <c r="F13" s="3"/>
      <c r="G13" s="3"/>
      <c r="H13" s="3"/>
      <c r="I13" s="3"/>
      <c r="J13" s="3"/>
      <c r="K13" s="3"/>
      <c r="L13" s="3"/>
      <c r="M13" s="3"/>
      <c r="N13" s="3"/>
      <c r="O13" s="3"/>
      <c r="P13" s="3"/>
      <c r="Q13" s="3"/>
      <c r="R13" s="3"/>
    </row>
    <row r="14" spans="1:18">
      <c r="A14" s="3"/>
      <c r="B14" s="3"/>
      <c r="C14" s="3"/>
      <c r="D14" s="3"/>
      <c r="E14" s="3"/>
      <c r="F14" s="3"/>
      <c r="G14" s="3"/>
      <c r="H14" s="3"/>
      <c r="I14" s="3"/>
      <c r="J14" s="3"/>
      <c r="K14" s="3"/>
      <c r="L14" s="3"/>
      <c r="M14" s="3"/>
      <c r="N14" s="3"/>
      <c r="O14" s="3"/>
      <c r="P14" s="3"/>
      <c r="Q14" s="3"/>
      <c r="R14" s="3"/>
    </row>
    <row r="15" spans="1:18">
      <c r="A15" s="3"/>
      <c r="B15" s="3"/>
      <c r="C15" s="3"/>
      <c r="D15" s="3"/>
      <c r="E15" s="3"/>
      <c r="F15" s="3"/>
      <c r="G15" s="3"/>
      <c r="H15" s="3"/>
      <c r="I15" s="3"/>
      <c r="J15" s="3"/>
      <c r="K15" s="3"/>
      <c r="L15" s="3"/>
      <c r="M15" s="3"/>
      <c r="N15" s="3"/>
      <c r="O15" s="3"/>
      <c r="P15" s="3"/>
      <c r="Q15" s="3"/>
      <c r="R15" s="3"/>
    </row>
    <row r="16" spans="1:18">
      <c r="A16" s="3"/>
      <c r="B16" s="3"/>
      <c r="C16" s="3"/>
      <c r="D16" s="3"/>
      <c r="E16" s="3"/>
      <c r="F16" s="3"/>
      <c r="G16" s="3"/>
      <c r="H16" s="3"/>
      <c r="I16" s="3"/>
      <c r="J16" s="3"/>
      <c r="K16" s="3"/>
      <c r="L16" s="3"/>
      <c r="M16" s="3"/>
      <c r="N16" s="3"/>
      <c r="O16" s="3"/>
      <c r="P16" s="3"/>
      <c r="Q16" s="3"/>
      <c r="R16" s="3"/>
    </row>
    <row r="17" spans="1:18">
      <c r="A17" s="3"/>
      <c r="B17" s="3"/>
      <c r="C17" s="3"/>
      <c r="D17" s="3"/>
      <c r="E17" s="3"/>
      <c r="F17" s="3"/>
      <c r="G17" s="3"/>
      <c r="H17" s="3"/>
      <c r="I17" s="3"/>
      <c r="J17" s="3"/>
      <c r="K17" s="3"/>
      <c r="L17" s="3"/>
      <c r="M17" s="3"/>
      <c r="N17" s="3"/>
      <c r="O17" s="3"/>
      <c r="P17" s="3"/>
      <c r="Q17" s="3"/>
      <c r="R17" s="3"/>
    </row>
    <row r="18" spans="1:18">
      <c r="A18" s="3"/>
      <c r="B18" s="3"/>
      <c r="C18" s="3"/>
      <c r="D18" s="3"/>
      <c r="E18" s="3"/>
      <c r="F18" s="3"/>
      <c r="G18" s="3"/>
      <c r="H18" s="3"/>
      <c r="I18" s="3"/>
      <c r="J18" s="3"/>
      <c r="K18" s="3"/>
      <c r="L18" s="3"/>
      <c r="M18" s="3"/>
      <c r="N18" s="3"/>
      <c r="O18" s="3"/>
      <c r="P18" s="3"/>
      <c r="Q18" s="3"/>
      <c r="R18" s="3"/>
    </row>
    <row r="19" spans="1:18">
      <c r="A19" s="3"/>
      <c r="B19" s="3"/>
      <c r="C19" s="3"/>
      <c r="D19" s="3"/>
      <c r="E19" s="3"/>
      <c r="F19" s="3"/>
      <c r="G19" s="3"/>
      <c r="H19" s="3"/>
      <c r="I19" s="3"/>
      <c r="J19" s="3"/>
      <c r="K19" s="3"/>
      <c r="L19" s="3"/>
      <c r="M19" s="3"/>
      <c r="N19" s="3"/>
      <c r="O19" s="3"/>
      <c r="P19" s="3"/>
      <c r="Q19" s="3"/>
      <c r="R19" s="3"/>
    </row>
    <row r="20" spans="1:18">
      <c r="A20" s="3"/>
      <c r="B20" s="3"/>
      <c r="C20" s="3"/>
      <c r="D20" s="3"/>
      <c r="E20" s="3"/>
      <c r="F20" s="3"/>
      <c r="G20" s="3"/>
      <c r="H20" s="3"/>
      <c r="I20" s="3"/>
      <c r="J20" s="3"/>
      <c r="K20" s="3"/>
      <c r="L20" s="3"/>
      <c r="M20" s="3"/>
      <c r="N20" s="3"/>
      <c r="O20" s="3"/>
      <c r="P20" s="3"/>
      <c r="Q20" s="3"/>
      <c r="R20" s="3"/>
    </row>
    <row r="21" spans="1:18">
      <c r="A21" s="3"/>
      <c r="B21" s="3"/>
      <c r="C21" s="3"/>
      <c r="D21" s="3"/>
      <c r="E21" s="3"/>
      <c r="F21" s="3"/>
      <c r="G21" s="3"/>
      <c r="H21" s="3"/>
      <c r="I21" s="3"/>
      <c r="J21" s="3"/>
      <c r="K21" s="3"/>
      <c r="L21" s="3"/>
      <c r="M21" s="3"/>
      <c r="N21" s="3"/>
      <c r="O21" s="3"/>
      <c r="P21" s="3"/>
      <c r="Q21" s="3"/>
      <c r="R21" s="3"/>
    </row>
    <row r="22" spans="1:18">
      <c r="A22" s="3"/>
      <c r="B22" s="3"/>
      <c r="C22" s="3"/>
      <c r="D22" s="3"/>
      <c r="E22" s="3"/>
      <c r="F22" s="3"/>
      <c r="G22" s="3"/>
      <c r="H22" s="3"/>
      <c r="I22" s="3"/>
      <c r="J22" s="3"/>
      <c r="K22" s="3"/>
      <c r="L22" s="3"/>
      <c r="M22" s="3"/>
      <c r="N22" s="3"/>
      <c r="O22" s="3"/>
      <c r="P22" s="3"/>
      <c r="Q22" s="3"/>
      <c r="R22" s="3"/>
    </row>
    <row r="23" spans="1:18">
      <c r="A23" s="3"/>
      <c r="B23" s="3"/>
      <c r="C23" s="3"/>
      <c r="D23" s="3"/>
      <c r="E23" s="3"/>
      <c r="F23" s="3"/>
      <c r="G23" s="3"/>
      <c r="H23" s="3"/>
      <c r="I23" s="3"/>
      <c r="J23" s="3"/>
      <c r="K23" s="3"/>
      <c r="L23" s="3"/>
      <c r="M23" s="3"/>
      <c r="N23" s="3"/>
      <c r="O23" s="3"/>
      <c r="P23" s="3"/>
      <c r="Q23" s="3"/>
      <c r="R23" s="3"/>
    </row>
    <row r="24" spans="1:18">
      <c r="A24" s="3"/>
      <c r="B24" s="3"/>
      <c r="C24" s="3"/>
      <c r="D24" s="3"/>
      <c r="E24" s="3"/>
      <c r="F24" s="3"/>
      <c r="G24" s="3"/>
      <c r="H24" s="3"/>
      <c r="I24" s="3"/>
      <c r="J24" s="3"/>
      <c r="K24" s="3"/>
      <c r="L24" s="3"/>
      <c r="M24" s="3"/>
      <c r="N24" s="3"/>
      <c r="O24" s="3"/>
      <c r="P24" s="3"/>
      <c r="Q24" s="3"/>
      <c r="R24" s="3"/>
    </row>
    <row r="25" spans="1:18">
      <c r="A25" s="3"/>
      <c r="B25" s="3"/>
      <c r="C25" s="3"/>
      <c r="D25" s="3"/>
      <c r="E25" s="3"/>
      <c r="F25" s="3"/>
      <c r="G25" s="3"/>
      <c r="H25" s="3"/>
      <c r="I25" s="3"/>
      <c r="J25" s="3"/>
      <c r="K25" s="3"/>
      <c r="L25" s="3"/>
      <c r="M25" s="3"/>
      <c r="N25" s="3"/>
      <c r="O25" s="3"/>
      <c r="P25" s="3"/>
      <c r="Q25" s="3"/>
      <c r="R25" s="3"/>
    </row>
    <row r="26" spans="1:18">
      <c r="A26" s="3"/>
      <c r="B26" s="3"/>
      <c r="C26" s="3"/>
      <c r="D26" s="3"/>
      <c r="E26" s="3"/>
      <c r="F26" s="3"/>
      <c r="G26" s="3"/>
      <c r="H26" s="3"/>
      <c r="I26" s="3"/>
      <c r="J26" s="3"/>
      <c r="K26" s="3"/>
      <c r="L26" s="3"/>
      <c r="M26" s="3"/>
      <c r="N26" s="3"/>
      <c r="O26" s="3"/>
      <c r="P26" s="3"/>
      <c r="Q26" s="3"/>
      <c r="R26" s="3"/>
    </row>
    <row r="27" spans="1:18">
      <c r="A27" s="3"/>
      <c r="B27" s="3"/>
      <c r="C27" s="3"/>
      <c r="D27" s="3"/>
      <c r="E27" s="3"/>
      <c r="F27" s="3"/>
      <c r="G27" s="3"/>
      <c r="H27" s="3"/>
      <c r="I27" s="3"/>
      <c r="J27" s="3"/>
      <c r="K27" s="3"/>
      <c r="L27" s="3"/>
      <c r="M27" s="3"/>
      <c r="N27" s="3"/>
      <c r="O27" s="3"/>
      <c r="P27" s="3"/>
      <c r="Q27" s="3"/>
      <c r="R27" s="3"/>
    </row>
    <row r="28" spans="1:18">
      <c r="A28" s="3"/>
      <c r="B28" s="3"/>
      <c r="C28" s="3"/>
      <c r="D28" s="3"/>
      <c r="E28" s="3"/>
      <c r="F28" s="3"/>
      <c r="G28" s="3"/>
      <c r="H28" s="3"/>
      <c r="I28" s="3"/>
      <c r="J28" s="3"/>
      <c r="K28" s="3"/>
      <c r="L28" s="3"/>
      <c r="M28" s="3"/>
      <c r="N28" s="3"/>
      <c r="O28" s="3"/>
      <c r="P28" s="3"/>
      <c r="Q28" s="3"/>
      <c r="R28" s="3"/>
    </row>
    <row r="29" spans="1:18">
      <c r="A29" s="3"/>
      <c r="B29" s="3"/>
      <c r="C29" s="3"/>
      <c r="D29" s="3"/>
      <c r="E29" s="3"/>
      <c r="F29" s="3"/>
      <c r="G29" s="3"/>
      <c r="H29" s="3"/>
      <c r="I29" s="3"/>
      <c r="J29" s="3"/>
      <c r="K29" s="3"/>
      <c r="L29" s="3"/>
      <c r="M29" s="3"/>
      <c r="N29" s="3"/>
      <c r="O29" s="3"/>
      <c r="P29" s="3"/>
      <c r="Q29" s="3"/>
      <c r="R29" s="3"/>
    </row>
    <row r="30" spans="1:18">
      <c r="A30" s="3"/>
      <c r="B30" s="3"/>
      <c r="C30" s="3"/>
      <c r="D30" s="3"/>
      <c r="E30" s="3"/>
      <c r="F30" s="3"/>
      <c r="G30" s="3"/>
      <c r="H30" s="3"/>
      <c r="I30" s="3"/>
      <c r="J30" s="3"/>
      <c r="K30" s="3"/>
      <c r="L30" s="3"/>
      <c r="M30" s="3"/>
      <c r="N30" s="3"/>
      <c r="O30" s="3"/>
      <c r="P30" s="3"/>
      <c r="Q30" s="3"/>
      <c r="R30" s="3"/>
    </row>
    <row r="31" spans="1:18">
      <c r="A31" s="3"/>
      <c r="B31" s="3"/>
      <c r="C31" s="3"/>
      <c r="D31" s="3"/>
      <c r="E31" s="3"/>
      <c r="F31" s="3"/>
      <c r="G31" s="3"/>
      <c r="H31" s="3"/>
      <c r="I31" s="3"/>
      <c r="J31" s="3"/>
      <c r="K31" s="3"/>
      <c r="L31" s="3"/>
      <c r="M31" s="3"/>
      <c r="N31" s="3"/>
      <c r="O31" s="3"/>
      <c r="P31" s="3"/>
      <c r="Q31" s="3"/>
      <c r="R31" s="3"/>
    </row>
    <row r="32" spans="1:18">
      <c r="A32" s="3"/>
      <c r="B32" s="3"/>
      <c r="C32" s="3"/>
      <c r="D32" s="3"/>
      <c r="E32" s="3"/>
      <c r="F32" s="3"/>
      <c r="G32" s="3"/>
      <c r="H32" s="3"/>
      <c r="I32" s="3"/>
      <c r="J32" s="3"/>
      <c r="K32" s="3"/>
      <c r="L32" s="3"/>
      <c r="M32" s="3"/>
      <c r="N32" s="3"/>
      <c r="O32" s="3"/>
      <c r="P32" s="3"/>
      <c r="Q32" s="3"/>
      <c r="R32"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3E1B7-6C40-4628-87DA-9BD9E792BFC3}">
  <dimension ref="A1"/>
  <sheetViews>
    <sheetView workbookViewId="0"/>
  </sheetViews>
  <sheetFormatPr defaultRowHeight="14.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36998-7DA5-457A-BF60-34916119E381}">
  <dimension ref="A1:W31"/>
  <sheetViews>
    <sheetView workbookViewId="0"/>
  </sheetViews>
  <sheetFormatPr defaultRowHeight="14.4"/>
  <sheetData>
    <row r="1" spans="1:23">
      <c r="A1" s="3"/>
      <c r="B1" s="3"/>
      <c r="C1" s="3"/>
      <c r="D1" s="3"/>
      <c r="E1" s="3"/>
      <c r="F1" s="3"/>
      <c r="G1" s="3"/>
      <c r="H1" s="3"/>
      <c r="I1" s="3"/>
      <c r="J1" s="3"/>
      <c r="K1" s="3"/>
      <c r="L1" s="3"/>
      <c r="M1" s="3"/>
      <c r="N1" s="3"/>
      <c r="O1" s="3"/>
      <c r="P1" s="3"/>
      <c r="Q1" s="3"/>
      <c r="R1" s="3"/>
      <c r="S1" s="3"/>
      <c r="T1" s="3"/>
      <c r="U1" s="3"/>
      <c r="V1" s="3"/>
      <c r="W1" s="3"/>
    </row>
    <row r="2" spans="1:23" ht="13.8" customHeight="1">
      <c r="A2" s="3"/>
      <c r="B2" s="3"/>
      <c r="C2" s="3"/>
      <c r="D2" s="3"/>
      <c r="E2" s="3"/>
      <c r="F2" s="3"/>
      <c r="G2" s="3"/>
      <c r="H2" s="3"/>
      <c r="I2" s="3"/>
      <c r="J2" s="3"/>
      <c r="K2" s="3"/>
      <c r="L2" s="3"/>
      <c r="M2" s="3"/>
      <c r="N2" s="3"/>
      <c r="O2" s="3"/>
      <c r="P2" s="3"/>
      <c r="Q2" s="3"/>
      <c r="R2" s="3"/>
      <c r="S2" s="3"/>
      <c r="T2" s="3"/>
      <c r="U2" s="3"/>
      <c r="V2" s="3"/>
      <c r="W2" s="3"/>
    </row>
    <row r="3" spans="1:23">
      <c r="A3" s="3"/>
      <c r="B3" s="3"/>
      <c r="C3" s="3"/>
      <c r="D3" s="3"/>
      <c r="E3" s="3"/>
      <c r="F3" s="3"/>
      <c r="G3" s="3"/>
      <c r="H3" s="3"/>
      <c r="I3" s="3"/>
      <c r="J3" s="3"/>
      <c r="K3" s="3"/>
      <c r="L3" s="3"/>
      <c r="M3" s="3"/>
      <c r="N3" s="3"/>
      <c r="O3" s="3"/>
      <c r="P3" s="3"/>
      <c r="Q3" s="3"/>
      <c r="R3" s="3"/>
      <c r="S3" s="3"/>
      <c r="T3" s="3"/>
      <c r="U3" s="3"/>
      <c r="V3" s="3"/>
      <c r="W3" s="3"/>
    </row>
    <row r="4" spans="1:23">
      <c r="A4" s="3"/>
      <c r="B4" s="3"/>
      <c r="C4" s="3"/>
      <c r="D4" s="3"/>
      <c r="E4" s="3"/>
      <c r="F4" s="3"/>
      <c r="G4" s="3"/>
      <c r="H4" s="3"/>
      <c r="I4" s="3"/>
      <c r="J4" s="3"/>
      <c r="K4" s="3"/>
      <c r="L4" s="3"/>
      <c r="M4" s="3"/>
      <c r="N4" s="3"/>
      <c r="O4" s="3"/>
      <c r="P4" s="3"/>
      <c r="Q4" s="3"/>
      <c r="R4" s="3"/>
      <c r="S4" s="3"/>
      <c r="T4" s="3"/>
      <c r="U4" s="3"/>
      <c r="V4" s="3"/>
      <c r="W4" s="3"/>
    </row>
    <row r="5" spans="1:23">
      <c r="A5" s="3"/>
      <c r="B5" s="3"/>
      <c r="C5" s="3"/>
      <c r="D5" s="3"/>
      <c r="E5" s="3"/>
      <c r="F5" s="3"/>
      <c r="G5" s="3"/>
      <c r="H5" s="3"/>
      <c r="I5" s="3"/>
      <c r="J5" s="3"/>
      <c r="K5" s="3"/>
      <c r="L5" s="3"/>
      <c r="M5" s="3"/>
      <c r="N5" s="3"/>
      <c r="O5" s="3"/>
      <c r="P5" s="3"/>
      <c r="Q5" s="3"/>
      <c r="R5" s="3"/>
      <c r="S5" s="3"/>
      <c r="T5" s="3"/>
      <c r="U5" s="3"/>
      <c r="V5" s="3"/>
      <c r="W5" s="3"/>
    </row>
    <row r="6" spans="1:23">
      <c r="A6" s="3"/>
      <c r="B6" s="3"/>
      <c r="C6" s="3"/>
      <c r="D6" s="3"/>
      <c r="E6" s="3"/>
      <c r="F6" s="3"/>
      <c r="G6" s="3"/>
      <c r="H6" s="3"/>
      <c r="I6" s="3"/>
      <c r="J6" s="3"/>
      <c r="K6" s="3"/>
      <c r="L6" s="3"/>
      <c r="M6" s="3"/>
      <c r="N6" s="3"/>
      <c r="O6" s="3"/>
      <c r="P6" s="3"/>
      <c r="Q6" s="3"/>
      <c r="R6" s="3"/>
      <c r="S6" s="3"/>
      <c r="T6" s="3"/>
      <c r="U6" s="3"/>
      <c r="V6" s="3"/>
      <c r="W6" s="3"/>
    </row>
    <row r="7" spans="1:23">
      <c r="A7" s="3"/>
      <c r="B7" s="3"/>
      <c r="C7" s="3"/>
      <c r="D7" s="3"/>
      <c r="E7" s="3"/>
      <c r="F7" s="3"/>
      <c r="G7" s="3"/>
      <c r="H7" s="3"/>
      <c r="I7" s="3"/>
      <c r="J7" s="3"/>
      <c r="K7" s="3"/>
      <c r="L7" s="3"/>
      <c r="M7" s="3"/>
      <c r="N7" s="3"/>
      <c r="O7" s="3"/>
      <c r="P7" s="3"/>
      <c r="Q7" s="3"/>
      <c r="R7" s="3"/>
      <c r="S7" s="3"/>
      <c r="T7" s="3"/>
      <c r="U7" s="3"/>
      <c r="V7" s="3"/>
      <c r="W7" s="3"/>
    </row>
    <row r="8" spans="1:23">
      <c r="A8" s="3"/>
      <c r="B8" s="3"/>
      <c r="C8" s="3"/>
      <c r="D8" s="3"/>
      <c r="E8" s="3"/>
      <c r="F8" s="3"/>
      <c r="G8" s="3"/>
      <c r="H8" s="3"/>
      <c r="I8" s="3"/>
      <c r="J8" s="3"/>
      <c r="K8" s="3"/>
      <c r="L8" s="3"/>
      <c r="M8" s="3"/>
      <c r="N8" s="3"/>
      <c r="O8" s="3"/>
      <c r="P8" s="3"/>
      <c r="Q8" s="3"/>
      <c r="R8" s="3"/>
      <c r="S8" s="3"/>
      <c r="T8" s="3"/>
      <c r="U8" s="3"/>
      <c r="V8" s="3"/>
      <c r="W8" s="3"/>
    </row>
    <row r="9" spans="1:23">
      <c r="A9" s="3"/>
      <c r="B9" s="3"/>
      <c r="C9" s="3"/>
      <c r="D9" s="3"/>
      <c r="E9" s="3"/>
      <c r="F9" s="3"/>
      <c r="G9" s="3"/>
      <c r="H9" s="3"/>
      <c r="I9" s="3"/>
      <c r="J9" s="3"/>
      <c r="K9" s="3"/>
      <c r="L9" s="3"/>
      <c r="M9" s="3"/>
      <c r="N9" s="3"/>
      <c r="O9" s="3"/>
      <c r="P9" s="3"/>
      <c r="Q9" s="3"/>
      <c r="R9" s="3"/>
      <c r="S9" s="3"/>
      <c r="T9" s="3"/>
      <c r="U9" s="3"/>
      <c r="V9" s="3"/>
      <c r="W9" s="3"/>
    </row>
    <row r="10" spans="1:23">
      <c r="A10" s="3"/>
      <c r="B10" s="3"/>
      <c r="C10" s="3"/>
      <c r="D10" s="3"/>
      <c r="E10" s="3"/>
      <c r="F10" s="3"/>
      <c r="G10" s="3"/>
      <c r="H10" s="3"/>
      <c r="I10" s="3"/>
      <c r="J10" s="3"/>
      <c r="K10" s="3"/>
      <c r="L10" s="3"/>
      <c r="M10" s="3"/>
      <c r="N10" s="3"/>
      <c r="O10" s="3"/>
      <c r="P10" s="3"/>
      <c r="Q10" s="3"/>
      <c r="R10" s="3"/>
      <c r="S10" s="3"/>
      <c r="T10" s="3"/>
      <c r="U10" s="3"/>
      <c r="V10" s="3"/>
      <c r="W10" s="3"/>
    </row>
    <row r="11" spans="1:23">
      <c r="A11" s="3"/>
      <c r="B11" s="3"/>
      <c r="C11" s="3"/>
      <c r="D11" s="3"/>
      <c r="E11" s="3"/>
      <c r="F11" s="3"/>
      <c r="G11" s="3"/>
      <c r="H11" s="3"/>
      <c r="I11" s="3"/>
      <c r="J11" s="3"/>
      <c r="K11" s="3"/>
      <c r="L11" s="3"/>
      <c r="M11" s="3"/>
      <c r="N11" s="3"/>
      <c r="O11" s="3"/>
      <c r="P11" s="3"/>
      <c r="Q11" s="3"/>
      <c r="R11" s="3"/>
      <c r="S11" s="3"/>
      <c r="T11" s="3"/>
      <c r="U11" s="3"/>
      <c r="V11" s="3"/>
      <c r="W11" s="3"/>
    </row>
    <row r="12" spans="1:23">
      <c r="A12" s="3"/>
      <c r="B12" s="3"/>
      <c r="C12" s="3"/>
      <c r="D12" s="3"/>
      <c r="E12" s="3"/>
      <c r="F12" s="3"/>
      <c r="G12" s="3"/>
      <c r="H12" s="3"/>
      <c r="I12" s="3"/>
      <c r="J12" s="3"/>
      <c r="K12" s="3"/>
      <c r="L12" s="3"/>
      <c r="M12" s="3"/>
      <c r="N12" s="3"/>
      <c r="O12" s="3"/>
      <c r="P12" s="3"/>
      <c r="Q12" s="3"/>
      <c r="R12" s="3"/>
      <c r="S12" s="3"/>
      <c r="T12" s="3"/>
      <c r="U12" s="3"/>
      <c r="V12" s="3"/>
      <c r="W12" s="3"/>
    </row>
    <row r="13" spans="1:23">
      <c r="A13" s="3"/>
      <c r="B13" s="3"/>
      <c r="C13" s="3"/>
      <c r="D13" s="3"/>
      <c r="E13" s="3"/>
      <c r="F13" s="3"/>
      <c r="G13" s="3"/>
      <c r="H13" s="3"/>
      <c r="I13" s="3"/>
      <c r="J13" s="3"/>
      <c r="K13" s="3"/>
      <c r="L13" s="3"/>
      <c r="M13" s="3"/>
      <c r="N13" s="3"/>
      <c r="O13" s="3"/>
      <c r="P13" s="3"/>
      <c r="Q13" s="3"/>
      <c r="R13" s="3"/>
      <c r="S13" s="3"/>
      <c r="T13" s="3"/>
      <c r="U13" s="3"/>
      <c r="V13" s="3"/>
      <c r="W13" s="3"/>
    </row>
    <row r="14" spans="1:23">
      <c r="A14" s="3"/>
      <c r="B14" s="3"/>
      <c r="C14" s="3"/>
      <c r="D14" s="3"/>
      <c r="E14" s="3"/>
      <c r="F14" s="3"/>
      <c r="G14" s="3"/>
      <c r="H14" s="3"/>
      <c r="I14" s="3"/>
      <c r="J14" s="3"/>
      <c r="K14" s="3"/>
      <c r="L14" s="3"/>
      <c r="M14" s="3"/>
      <c r="N14" s="3"/>
      <c r="O14" s="3"/>
      <c r="P14" s="3"/>
      <c r="Q14" s="3"/>
      <c r="R14" s="3"/>
      <c r="S14" s="3"/>
      <c r="T14" s="3"/>
      <c r="U14" s="3"/>
      <c r="V14" s="3"/>
      <c r="W14" s="3"/>
    </row>
    <row r="15" spans="1:23">
      <c r="A15" s="3"/>
      <c r="B15" s="3"/>
      <c r="C15" s="3"/>
      <c r="D15" s="3"/>
      <c r="E15" s="3"/>
      <c r="F15" s="3"/>
      <c r="G15" s="3"/>
      <c r="H15" s="3"/>
      <c r="I15" s="3"/>
      <c r="J15" s="3"/>
      <c r="K15" s="3"/>
      <c r="L15" s="3"/>
      <c r="M15" s="3"/>
      <c r="N15" s="3"/>
      <c r="O15" s="3"/>
      <c r="P15" s="3"/>
      <c r="Q15" s="3"/>
      <c r="R15" s="3"/>
      <c r="S15" s="3"/>
      <c r="T15" s="3"/>
      <c r="U15" s="3"/>
      <c r="V15" s="3"/>
      <c r="W15" s="3"/>
    </row>
    <row r="16" spans="1:23">
      <c r="A16" s="3"/>
      <c r="B16" s="3"/>
      <c r="C16" s="3"/>
      <c r="D16" s="3"/>
      <c r="E16" s="3"/>
      <c r="F16" s="3"/>
      <c r="G16" s="3"/>
      <c r="H16" s="3"/>
      <c r="I16" s="3"/>
      <c r="J16" s="3"/>
      <c r="K16" s="3"/>
      <c r="L16" s="3"/>
      <c r="M16" s="3"/>
      <c r="N16" s="3"/>
      <c r="O16" s="3"/>
      <c r="P16" s="3"/>
      <c r="Q16" s="3"/>
      <c r="R16" s="3"/>
      <c r="S16" s="3"/>
      <c r="T16" s="3"/>
      <c r="U16" s="3"/>
      <c r="V16" s="3"/>
      <c r="W16" s="3"/>
    </row>
    <row r="17" spans="1:23">
      <c r="A17" s="3"/>
      <c r="B17" s="3"/>
      <c r="C17" s="3"/>
      <c r="D17" s="3"/>
      <c r="E17" s="3"/>
      <c r="F17" s="3"/>
      <c r="G17" s="3"/>
      <c r="H17" s="3"/>
      <c r="I17" s="3"/>
      <c r="J17" s="3"/>
      <c r="K17" s="3"/>
      <c r="L17" s="3"/>
      <c r="M17" s="3"/>
      <c r="N17" s="3"/>
      <c r="O17" s="3"/>
      <c r="P17" s="3"/>
      <c r="Q17" s="3"/>
      <c r="R17" s="3"/>
      <c r="S17" s="3"/>
      <c r="T17" s="3"/>
      <c r="U17" s="3"/>
      <c r="V17" s="3"/>
      <c r="W17" s="3"/>
    </row>
    <row r="18" spans="1:23">
      <c r="A18" s="3"/>
      <c r="B18" s="3"/>
      <c r="C18" s="3"/>
      <c r="D18" s="3"/>
      <c r="E18" s="3"/>
      <c r="F18" s="3"/>
      <c r="G18" s="3"/>
      <c r="H18" s="3"/>
      <c r="I18" s="3"/>
      <c r="J18" s="3"/>
      <c r="K18" s="3"/>
      <c r="L18" s="3"/>
      <c r="M18" s="3"/>
      <c r="N18" s="3"/>
      <c r="O18" s="3"/>
      <c r="P18" s="3"/>
      <c r="Q18" s="3"/>
      <c r="R18" s="3"/>
      <c r="S18" s="3"/>
      <c r="T18" s="3"/>
      <c r="U18" s="3"/>
      <c r="V18" s="3"/>
      <c r="W18" s="3"/>
    </row>
    <row r="19" spans="1:23">
      <c r="A19" s="3"/>
      <c r="B19" s="3"/>
      <c r="C19" s="3"/>
      <c r="D19" s="3"/>
      <c r="E19" s="3"/>
      <c r="F19" s="3"/>
      <c r="G19" s="3"/>
      <c r="H19" s="3"/>
      <c r="I19" s="3"/>
      <c r="J19" s="3"/>
      <c r="K19" s="3"/>
      <c r="L19" s="3"/>
      <c r="M19" s="3"/>
      <c r="N19" s="3"/>
      <c r="O19" s="3"/>
      <c r="P19" s="3"/>
      <c r="Q19" s="3"/>
      <c r="R19" s="3"/>
      <c r="S19" s="3"/>
      <c r="T19" s="3"/>
      <c r="U19" s="3"/>
      <c r="V19" s="3"/>
      <c r="W19" s="3"/>
    </row>
    <row r="20" spans="1:23">
      <c r="A20" s="3"/>
      <c r="B20" s="3"/>
      <c r="C20" s="3"/>
      <c r="D20" s="3"/>
      <c r="E20" s="3"/>
      <c r="F20" s="3"/>
      <c r="G20" s="3"/>
      <c r="H20" s="3"/>
      <c r="I20" s="3"/>
      <c r="J20" s="3"/>
      <c r="K20" s="3"/>
      <c r="L20" s="3"/>
      <c r="M20" s="3"/>
      <c r="N20" s="3"/>
      <c r="O20" s="3"/>
      <c r="P20" s="3"/>
      <c r="Q20" s="3"/>
      <c r="R20" s="3"/>
      <c r="S20" s="3"/>
      <c r="T20" s="3"/>
      <c r="U20" s="3"/>
      <c r="V20" s="3"/>
      <c r="W20" s="3"/>
    </row>
    <row r="21" spans="1:23">
      <c r="A21" s="3"/>
      <c r="B21" s="3"/>
      <c r="C21" s="3"/>
      <c r="D21" s="3"/>
      <c r="E21" s="3"/>
      <c r="F21" s="3"/>
      <c r="G21" s="3"/>
      <c r="H21" s="3"/>
      <c r="I21" s="3"/>
      <c r="J21" s="3"/>
      <c r="K21" s="3"/>
      <c r="L21" s="3"/>
      <c r="M21" s="3"/>
      <c r="N21" s="3"/>
      <c r="O21" s="3"/>
      <c r="P21" s="3"/>
      <c r="Q21" s="3"/>
      <c r="R21" s="3"/>
      <c r="S21" s="3"/>
      <c r="T21" s="3"/>
      <c r="U21" s="3"/>
      <c r="V21" s="3"/>
      <c r="W21" s="3"/>
    </row>
    <row r="22" spans="1:23">
      <c r="A22" s="3"/>
      <c r="B22" s="3"/>
      <c r="C22" s="3"/>
      <c r="D22" s="3"/>
      <c r="E22" s="3"/>
      <c r="F22" s="3"/>
      <c r="G22" s="3"/>
      <c r="H22" s="3"/>
      <c r="I22" s="3"/>
      <c r="J22" s="3"/>
      <c r="K22" s="3"/>
      <c r="L22" s="3"/>
      <c r="M22" s="3"/>
      <c r="N22" s="3"/>
      <c r="O22" s="3"/>
      <c r="P22" s="3"/>
      <c r="Q22" s="3"/>
      <c r="R22" s="3"/>
      <c r="S22" s="3"/>
      <c r="T22" s="3"/>
      <c r="U22" s="3"/>
      <c r="V22" s="3"/>
      <c r="W22" s="3"/>
    </row>
    <row r="23" spans="1:23">
      <c r="A23" s="3"/>
      <c r="B23" s="3"/>
      <c r="C23" s="3"/>
      <c r="D23" s="3"/>
      <c r="E23" s="3"/>
      <c r="F23" s="3"/>
      <c r="G23" s="3"/>
      <c r="H23" s="3"/>
      <c r="I23" s="3"/>
      <c r="J23" s="3"/>
      <c r="K23" s="3"/>
      <c r="L23" s="3"/>
      <c r="M23" s="3"/>
      <c r="N23" s="3"/>
      <c r="O23" s="3"/>
      <c r="P23" s="3"/>
      <c r="Q23" s="3"/>
      <c r="R23" s="3"/>
      <c r="S23" s="3"/>
      <c r="T23" s="3"/>
      <c r="U23" s="3"/>
      <c r="V23" s="3"/>
      <c r="W23" s="3"/>
    </row>
    <row r="24" spans="1:23">
      <c r="A24" s="3"/>
      <c r="B24" s="3"/>
      <c r="C24" s="3"/>
      <c r="D24" s="3"/>
      <c r="E24" s="3"/>
      <c r="F24" s="3"/>
      <c r="G24" s="3"/>
      <c r="H24" s="3"/>
      <c r="I24" s="3"/>
      <c r="J24" s="3"/>
      <c r="K24" s="3"/>
      <c r="L24" s="3"/>
      <c r="M24" s="3"/>
      <c r="N24" s="3"/>
      <c r="O24" s="3"/>
      <c r="P24" s="3"/>
      <c r="Q24" s="3"/>
      <c r="R24" s="3"/>
      <c r="S24" s="3"/>
      <c r="T24" s="3"/>
      <c r="U24" s="3"/>
      <c r="V24" s="3"/>
      <c r="W24" s="3"/>
    </row>
    <row r="25" spans="1:23">
      <c r="A25" s="3"/>
      <c r="B25" s="3"/>
      <c r="C25" s="3"/>
      <c r="D25" s="3"/>
      <c r="E25" s="3"/>
      <c r="F25" s="3"/>
      <c r="G25" s="3"/>
      <c r="H25" s="3"/>
      <c r="I25" s="3"/>
      <c r="J25" s="3"/>
      <c r="K25" s="3"/>
      <c r="L25" s="3"/>
      <c r="M25" s="3"/>
      <c r="N25" s="3"/>
      <c r="O25" s="3"/>
      <c r="P25" s="3"/>
      <c r="Q25" s="3"/>
      <c r="R25" s="3"/>
      <c r="S25" s="3"/>
      <c r="T25" s="3"/>
      <c r="U25" s="3"/>
      <c r="V25" s="3"/>
      <c r="W25" s="3"/>
    </row>
    <row r="26" spans="1:23">
      <c r="A26" s="3"/>
      <c r="B26" s="3"/>
      <c r="C26" s="3"/>
      <c r="D26" s="3"/>
      <c r="E26" s="3"/>
      <c r="F26" s="3"/>
      <c r="G26" s="3"/>
      <c r="H26" s="3"/>
      <c r="I26" s="3"/>
      <c r="J26" s="3"/>
      <c r="K26" s="3"/>
      <c r="L26" s="3"/>
      <c r="M26" s="3"/>
      <c r="N26" s="3"/>
      <c r="O26" s="3"/>
      <c r="P26" s="3"/>
      <c r="Q26" s="3"/>
      <c r="R26" s="3"/>
      <c r="S26" s="3"/>
      <c r="T26" s="3"/>
      <c r="U26" s="3"/>
      <c r="V26" s="3"/>
      <c r="W26" s="3"/>
    </row>
    <row r="27" spans="1:23">
      <c r="A27" s="3"/>
      <c r="B27" s="3"/>
      <c r="C27" s="3"/>
      <c r="D27" s="3"/>
      <c r="E27" s="3"/>
      <c r="F27" s="3"/>
      <c r="G27" s="3"/>
      <c r="H27" s="3"/>
      <c r="I27" s="3"/>
      <c r="J27" s="3"/>
      <c r="K27" s="3"/>
      <c r="L27" s="3"/>
      <c r="M27" s="3"/>
      <c r="N27" s="3"/>
      <c r="O27" s="3"/>
      <c r="P27" s="3"/>
      <c r="Q27" s="3"/>
      <c r="R27" s="3"/>
      <c r="S27" s="3"/>
      <c r="T27" s="3"/>
      <c r="U27" s="3"/>
      <c r="V27" s="3"/>
      <c r="W27" s="3"/>
    </row>
    <row r="28" spans="1:23">
      <c r="A28" s="3"/>
      <c r="B28" s="3"/>
      <c r="C28" s="3"/>
      <c r="D28" s="3"/>
      <c r="E28" s="3"/>
      <c r="F28" s="3"/>
      <c r="G28" s="3"/>
      <c r="H28" s="3"/>
      <c r="I28" s="3"/>
      <c r="J28" s="3"/>
      <c r="K28" s="3"/>
      <c r="L28" s="3"/>
      <c r="M28" s="3"/>
      <c r="N28" s="3"/>
      <c r="O28" s="3"/>
      <c r="P28" s="3"/>
      <c r="Q28" s="3"/>
      <c r="R28" s="3"/>
      <c r="S28" s="3"/>
      <c r="T28" s="3"/>
      <c r="U28" s="3"/>
      <c r="V28" s="3"/>
      <c r="W28" s="3"/>
    </row>
    <row r="29" spans="1:23">
      <c r="A29" s="3"/>
      <c r="B29" s="3"/>
      <c r="C29" s="3"/>
      <c r="D29" s="3"/>
      <c r="E29" s="3"/>
      <c r="F29" s="3"/>
      <c r="G29" s="3"/>
      <c r="H29" s="3"/>
      <c r="I29" s="3"/>
      <c r="J29" s="3"/>
      <c r="K29" s="3"/>
      <c r="L29" s="3"/>
      <c r="M29" s="3"/>
      <c r="N29" s="3"/>
      <c r="O29" s="3"/>
      <c r="P29" s="3"/>
      <c r="Q29" s="3"/>
      <c r="R29" s="3"/>
      <c r="S29" s="3"/>
      <c r="T29" s="3"/>
      <c r="U29" s="3"/>
      <c r="V29" s="3"/>
      <c r="W29" s="3"/>
    </row>
    <row r="30" spans="1:23">
      <c r="A30" s="3"/>
      <c r="B30" s="3"/>
      <c r="C30" s="3"/>
      <c r="D30" s="3"/>
      <c r="E30" s="3"/>
      <c r="F30" s="3"/>
      <c r="G30" s="3"/>
      <c r="H30" s="3"/>
      <c r="I30" s="3"/>
      <c r="J30" s="3"/>
      <c r="K30" s="3"/>
      <c r="L30" s="3"/>
      <c r="M30" s="3"/>
      <c r="N30" s="3"/>
      <c r="O30" s="3"/>
      <c r="P30" s="3"/>
      <c r="Q30" s="3"/>
      <c r="R30" s="3"/>
      <c r="S30" s="3"/>
      <c r="T30" s="3"/>
      <c r="U30" s="3"/>
      <c r="V30" s="3"/>
      <c r="W30" s="3"/>
    </row>
    <row r="31" spans="1:23">
      <c r="A31" s="3"/>
      <c r="B31" s="3"/>
      <c r="C31" s="3"/>
      <c r="D31" s="3"/>
      <c r="E31" s="3"/>
      <c r="F31" s="3"/>
      <c r="G31" s="3"/>
      <c r="H31" s="3"/>
      <c r="I31" s="3"/>
      <c r="J31" s="3"/>
      <c r="K31" s="3"/>
      <c r="L31" s="3"/>
      <c r="M31" s="3"/>
      <c r="N31" s="3"/>
      <c r="O31" s="3"/>
      <c r="P31" s="3"/>
      <c r="Q31" s="3"/>
      <c r="R31" s="3"/>
      <c r="S31" s="3"/>
      <c r="T31" s="3"/>
      <c r="U31" s="3"/>
      <c r="V31" s="3"/>
      <c r="W31" s="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8637B-5787-4EDC-993D-44E4785C408B}">
  <dimension ref="A1"/>
  <sheetViews>
    <sheetView workbookViewId="0"/>
  </sheetViews>
  <sheetFormatPr defaultRowHeight="14.4"/>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CA7F61D-A45E-4DE1-8097-2A668A40CDBE}">
  <ds:schemaRefs/>
</ds:datastoreItem>
</file>

<file path=customXml/itemProps2.xml><?xml version="1.0" encoding="utf-8"?>
<ds:datastoreItem xmlns:ds="http://schemas.openxmlformats.org/officeDocument/2006/customXml" ds:itemID="{C5FEF9D9-3B40-4C0F-96C8-B6B44C806089}">
  <ds:schemaRefs>
    <ds:schemaRef ds:uri="http://schemas.microsoft.com/DataMashup"/>
  </ds:schemaRefs>
</ds:datastoreItem>
</file>

<file path=customXml/itemProps3.xml><?xml version="1.0" encoding="utf-8"?>
<ds:datastoreItem xmlns:ds="http://schemas.openxmlformats.org/officeDocument/2006/customXml" ds:itemID="{CD0DA4FB-9451-4F88-80B8-886EFB300281}">
  <ds:schemaRefs/>
</ds:datastoreItem>
</file>

<file path=customXml/itemProps4.xml><?xml version="1.0" encoding="utf-8"?>
<ds:datastoreItem xmlns:ds="http://schemas.openxmlformats.org/officeDocument/2006/customXml" ds:itemID="{675978A5-6D82-4D84-8365-0837D50DEF75}">
  <ds:schemaRefs/>
</ds:datastoreItem>
</file>

<file path=customXml/itemProps5.xml><?xml version="1.0" encoding="utf-8"?>
<ds:datastoreItem xmlns:ds="http://schemas.openxmlformats.org/officeDocument/2006/customXml" ds:itemID="{D79C7CD9-DA02-4E74-B2B4-892298CB57D3}">
  <ds:schemaRefs/>
</ds:datastoreItem>
</file>

<file path=customXml/itemProps6.xml><?xml version="1.0" encoding="utf-8"?>
<ds:datastoreItem xmlns:ds="http://schemas.openxmlformats.org/officeDocument/2006/customXml" ds:itemID="{01E34375-3D53-4169-8D94-E52427842C12}">
  <ds:schemaRefs/>
</ds:datastoreItem>
</file>

<file path=customXml/itemProps7.xml><?xml version="1.0" encoding="utf-8"?>
<ds:datastoreItem xmlns:ds="http://schemas.openxmlformats.org/officeDocument/2006/customXml" ds:itemID="{B49B51BD-816B-4CE3-8D36-ABD20331D6BB}">
  <ds:schemaRefs/>
</ds:datastoreItem>
</file>

<file path=customXml/itemProps8.xml><?xml version="1.0" encoding="utf-8"?>
<ds:datastoreItem xmlns:ds="http://schemas.openxmlformats.org/officeDocument/2006/customXml" ds:itemID="{83BCFD9E-E065-4BC7-AF55-619CD0B0BADE}">
  <ds:schemaRefs/>
</ds:datastoreItem>
</file>

<file path=customXml/itemProps9.xml><?xml version="1.0" encoding="utf-8"?>
<ds:datastoreItem xmlns:ds="http://schemas.openxmlformats.org/officeDocument/2006/customXml" ds:itemID="{28B14518-EC9E-4450-9A67-DBADC07A392F}">
  <ds:schemaRefs/>
</ds:datastoreItem>
</file>

<file path=customXml/itemProps10.xml><?xml version="1.0" encoding="utf-8"?>
<ds:datastoreItem xmlns:ds="http://schemas.openxmlformats.org/officeDocument/2006/customXml" ds:itemID="{64E3AE5B-8CA2-4536-A230-DC3A00C9884B}">
  <ds:schemaRefs/>
</ds:datastoreItem>
</file>

<file path=customXml/itemProps11.xml><?xml version="1.0" encoding="utf-8"?>
<ds:datastoreItem xmlns:ds="http://schemas.openxmlformats.org/officeDocument/2006/customXml" ds:itemID="{F917D82E-0281-4E97-A2B1-BC2E2453806E}">
  <ds:schemaRefs/>
</ds:datastoreItem>
</file>

<file path=customXml/itemProps12.xml><?xml version="1.0" encoding="utf-8"?>
<ds:datastoreItem xmlns:ds="http://schemas.openxmlformats.org/officeDocument/2006/customXml" ds:itemID="{C53C740A-8719-4E64-BC34-D5BB538060FE}">
  <ds:schemaRefs/>
</ds:datastoreItem>
</file>

<file path=customXml/itemProps13.xml><?xml version="1.0" encoding="utf-8"?>
<ds:datastoreItem xmlns:ds="http://schemas.openxmlformats.org/officeDocument/2006/customXml" ds:itemID="{31A0BD6A-E932-4720-9664-BBBC0C394BC1}">
  <ds:schemaRefs/>
</ds:datastoreItem>
</file>

<file path=customXml/itemProps14.xml><?xml version="1.0" encoding="utf-8"?>
<ds:datastoreItem xmlns:ds="http://schemas.openxmlformats.org/officeDocument/2006/customXml" ds:itemID="{62841F85-6D75-4694-B675-2511824DE1AB}">
  <ds:schemaRefs/>
</ds:datastoreItem>
</file>

<file path=customXml/itemProps15.xml><?xml version="1.0" encoding="utf-8"?>
<ds:datastoreItem xmlns:ds="http://schemas.openxmlformats.org/officeDocument/2006/customXml" ds:itemID="{FB23B9A4-39F4-4889-A0D4-24AE3D1C6D98}">
  <ds:schemaRefs/>
</ds:datastoreItem>
</file>

<file path=customXml/itemProps16.xml><?xml version="1.0" encoding="utf-8"?>
<ds:datastoreItem xmlns:ds="http://schemas.openxmlformats.org/officeDocument/2006/customXml" ds:itemID="{6164D85F-7C0A-4F38-87C2-9515DE4A73E8}">
  <ds:schemaRefs/>
</ds:datastoreItem>
</file>

<file path=customXml/itemProps17.xml><?xml version="1.0" encoding="utf-8"?>
<ds:datastoreItem xmlns:ds="http://schemas.openxmlformats.org/officeDocument/2006/customXml" ds:itemID="{BF95CBBF-1828-4F1B-A2F4-71013D4BEEDC}">
  <ds:schemaRefs/>
</ds:datastoreItem>
</file>

<file path=customXml/itemProps18.xml><?xml version="1.0" encoding="utf-8"?>
<ds:datastoreItem xmlns:ds="http://schemas.openxmlformats.org/officeDocument/2006/customXml" ds:itemID="{66A67D69-873A-4612-AEA4-BDE4BC1615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Dashboard</vt:lpstr>
      <vt:lpstr>Yearly ER of Stay Of Average</vt:lpstr>
      <vt:lpstr>Yearly ER Of Average Bill</vt:lpstr>
      <vt:lpstr>Yearly ER of Revenue</vt:lpstr>
      <vt:lpstr>Yearly ER Of No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 khan</dc:creator>
  <cp:lastModifiedBy>Imran khan</cp:lastModifiedBy>
  <dcterms:created xsi:type="dcterms:W3CDTF">2026-07-29T18:07:06Z</dcterms:created>
  <dcterms:modified xsi:type="dcterms:W3CDTF">2026-08-13T17:00:39Z</dcterms:modified>
</cp:coreProperties>
</file>